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mid\Downloads\"/>
    </mc:Choice>
  </mc:AlternateContent>
  <xr:revisionPtr revIDLastSave="0" documentId="13_ncr:1_{BDFB6DE8-3D23-49AF-8827-F6B938A67E0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 Me" sheetId="1" r:id="rId1"/>
    <sheet name="Data" sheetId="2" r:id="rId2"/>
    <sheet name="result" sheetId="3" r:id="rId3"/>
  </sheets>
  <calcPr calcId="181029"/>
</workbook>
</file>

<file path=xl/calcChain.xml><?xml version="1.0" encoding="utf-8"?>
<calcChain xmlns="http://schemas.openxmlformats.org/spreadsheetml/2006/main">
  <c r="I6" i="2" l="1"/>
  <c r="I7" i="2"/>
  <c r="J6" i="2"/>
  <c r="N6" i="2" s="1"/>
  <c r="J7" i="2"/>
  <c r="L6" i="2"/>
  <c r="L7" i="2"/>
  <c r="M6" i="2"/>
  <c r="M7" i="2"/>
  <c r="O7" i="2" s="1"/>
  <c r="N7" i="2"/>
  <c r="H6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6" i="2"/>
  <c r="I21" i="2"/>
  <c r="I37" i="2"/>
  <c r="I45" i="2"/>
  <c r="I85" i="2"/>
  <c r="I101" i="2"/>
  <c r="H7" i="2"/>
  <c r="H8" i="2"/>
  <c r="J8" i="2" s="1"/>
  <c r="H9" i="2"/>
  <c r="J9" i="2" s="1"/>
  <c r="H10" i="2"/>
  <c r="J10" i="2" s="1"/>
  <c r="H11" i="2"/>
  <c r="H12" i="2"/>
  <c r="J12" i="2" s="1"/>
  <c r="H13" i="2"/>
  <c r="H14" i="2"/>
  <c r="H15" i="2"/>
  <c r="J15" i="2" s="1"/>
  <c r="H16" i="2"/>
  <c r="J16" i="2" s="1"/>
  <c r="H17" i="2"/>
  <c r="J17" i="2" s="1"/>
  <c r="H18" i="2"/>
  <c r="J18" i="2" s="1"/>
  <c r="H19" i="2"/>
  <c r="H20" i="2"/>
  <c r="J20" i="2" s="1"/>
  <c r="H21" i="2"/>
  <c r="H22" i="2"/>
  <c r="H23" i="2"/>
  <c r="J23" i="2" s="1"/>
  <c r="H24" i="2"/>
  <c r="J24" i="2" s="1"/>
  <c r="H25" i="2"/>
  <c r="J25" i="2" s="1"/>
  <c r="H26" i="2"/>
  <c r="J26" i="2" s="1"/>
  <c r="H27" i="2"/>
  <c r="H28" i="2"/>
  <c r="J28" i="2" s="1"/>
  <c r="H29" i="2"/>
  <c r="H30" i="2"/>
  <c r="H31" i="2"/>
  <c r="J31" i="2" s="1"/>
  <c r="H32" i="2"/>
  <c r="J32" i="2" s="1"/>
  <c r="H33" i="2"/>
  <c r="J33" i="2" s="1"/>
  <c r="H34" i="2"/>
  <c r="J34" i="2" s="1"/>
  <c r="H35" i="2"/>
  <c r="H36" i="2"/>
  <c r="J36" i="2" s="1"/>
  <c r="H37" i="2"/>
  <c r="H38" i="2"/>
  <c r="H39" i="2"/>
  <c r="J39" i="2" s="1"/>
  <c r="H40" i="2"/>
  <c r="J40" i="2" s="1"/>
  <c r="H41" i="2"/>
  <c r="J41" i="2" s="1"/>
  <c r="H42" i="2"/>
  <c r="J42" i="2" s="1"/>
  <c r="H43" i="2"/>
  <c r="H44" i="2"/>
  <c r="J44" i="2" s="1"/>
  <c r="H45" i="2"/>
  <c r="H46" i="2"/>
  <c r="H47" i="2"/>
  <c r="J47" i="2" s="1"/>
  <c r="H48" i="2"/>
  <c r="J48" i="2" s="1"/>
  <c r="H49" i="2"/>
  <c r="J49" i="2" s="1"/>
  <c r="H50" i="2"/>
  <c r="J50" i="2" s="1"/>
  <c r="H51" i="2"/>
  <c r="H52" i="2"/>
  <c r="J52" i="2" s="1"/>
  <c r="H53" i="2"/>
  <c r="H54" i="2"/>
  <c r="H55" i="2"/>
  <c r="J55" i="2" s="1"/>
  <c r="H56" i="2"/>
  <c r="J56" i="2" s="1"/>
  <c r="H57" i="2"/>
  <c r="J57" i="2" s="1"/>
  <c r="H58" i="2"/>
  <c r="J58" i="2" s="1"/>
  <c r="H59" i="2"/>
  <c r="H60" i="2"/>
  <c r="J60" i="2" s="1"/>
  <c r="H61" i="2"/>
  <c r="H62" i="2"/>
  <c r="H63" i="2"/>
  <c r="J63" i="2" s="1"/>
  <c r="H64" i="2"/>
  <c r="J64" i="2" s="1"/>
  <c r="H65" i="2"/>
  <c r="H66" i="2"/>
  <c r="J66" i="2" s="1"/>
  <c r="H67" i="2"/>
  <c r="H68" i="2"/>
  <c r="J68" i="2" s="1"/>
  <c r="H69" i="2"/>
  <c r="H70" i="2"/>
  <c r="H71" i="2"/>
  <c r="J71" i="2" s="1"/>
  <c r="H72" i="2"/>
  <c r="J72" i="2" s="1"/>
  <c r="H73" i="2"/>
  <c r="J73" i="2" s="1"/>
  <c r="H74" i="2"/>
  <c r="J74" i="2" s="1"/>
  <c r="H75" i="2"/>
  <c r="H76" i="2"/>
  <c r="J76" i="2" s="1"/>
  <c r="H77" i="2"/>
  <c r="H78" i="2"/>
  <c r="H79" i="2"/>
  <c r="J79" i="2" s="1"/>
  <c r="H80" i="2"/>
  <c r="J80" i="2" s="1"/>
  <c r="H81" i="2"/>
  <c r="J81" i="2" s="1"/>
  <c r="H82" i="2"/>
  <c r="J82" i="2" s="1"/>
  <c r="H83" i="2"/>
  <c r="H84" i="2"/>
  <c r="J84" i="2" s="1"/>
  <c r="H85" i="2"/>
  <c r="H86" i="2"/>
  <c r="H87" i="2"/>
  <c r="J87" i="2" s="1"/>
  <c r="H88" i="2"/>
  <c r="H89" i="2"/>
  <c r="J89" i="2" s="1"/>
  <c r="H90" i="2"/>
  <c r="J90" i="2" s="1"/>
  <c r="H91" i="2"/>
  <c r="H92" i="2"/>
  <c r="J92" i="2" s="1"/>
  <c r="H93" i="2"/>
  <c r="H94" i="2"/>
  <c r="H95" i="2"/>
  <c r="J95" i="2" s="1"/>
  <c r="H96" i="2"/>
  <c r="H97" i="2"/>
  <c r="J97" i="2" s="1"/>
  <c r="H98" i="2"/>
  <c r="J98" i="2" s="1"/>
  <c r="H99" i="2"/>
  <c r="H100" i="2"/>
  <c r="J100" i="2" s="1"/>
  <c r="H101" i="2"/>
  <c r="H102" i="2"/>
  <c r="H103" i="2"/>
  <c r="J103" i="2" s="1"/>
  <c r="H104" i="2"/>
  <c r="H105" i="2"/>
  <c r="J105" i="2" s="1"/>
  <c r="G7" i="2"/>
  <c r="G8" i="2"/>
  <c r="G9" i="2"/>
  <c r="G10" i="2"/>
  <c r="I10" i="2" s="1"/>
  <c r="O10" i="2" s="1"/>
  <c r="G11" i="2"/>
  <c r="G12" i="2"/>
  <c r="I12" i="2" s="1"/>
  <c r="G13" i="2"/>
  <c r="I13" i="2" s="1"/>
  <c r="G14" i="2"/>
  <c r="G15" i="2"/>
  <c r="I15" i="2" s="1"/>
  <c r="G16" i="2"/>
  <c r="G17" i="2"/>
  <c r="G18" i="2"/>
  <c r="I18" i="2" s="1"/>
  <c r="O18" i="2" s="1"/>
  <c r="G19" i="2"/>
  <c r="G20" i="2"/>
  <c r="I20" i="2" s="1"/>
  <c r="G21" i="2"/>
  <c r="G22" i="2"/>
  <c r="G23" i="2"/>
  <c r="I23" i="2" s="1"/>
  <c r="G24" i="2"/>
  <c r="G25" i="2"/>
  <c r="G26" i="2"/>
  <c r="I26" i="2" s="1"/>
  <c r="O26" i="2" s="1"/>
  <c r="G27" i="2"/>
  <c r="G28" i="2"/>
  <c r="I28" i="2" s="1"/>
  <c r="G29" i="2"/>
  <c r="I29" i="2" s="1"/>
  <c r="G30" i="2"/>
  <c r="G31" i="2"/>
  <c r="I31" i="2" s="1"/>
  <c r="G32" i="2"/>
  <c r="G33" i="2"/>
  <c r="G34" i="2"/>
  <c r="I34" i="2" s="1"/>
  <c r="O34" i="2" s="1"/>
  <c r="G35" i="2"/>
  <c r="G36" i="2"/>
  <c r="I36" i="2" s="1"/>
  <c r="G37" i="2"/>
  <c r="G38" i="2"/>
  <c r="G39" i="2"/>
  <c r="I39" i="2" s="1"/>
  <c r="G40" i="2"/>
  <c r="G41" i="2"/>
  <c r="G42" i="2"/>
  <c r="I42" i="2" s="1"/>
  <c r="O42" i="2" s="1"/>
  <c r="G43" i="2"/>
  <c r="G44" i="2"/>
  <c r="I44" i="2" s="1"/>
  <c r="G45" i="2"/>
  <c r="G46" i="2"/>
  <c r="G47" i="2"/>
  <c r="I47" i="2" s="1"/>
  <c r="G48" i="2"/>
  <c r="G49" i="2"/>
  <c r="G50" i="2"/>
  <c r="I50" i="2" s="1"/>
  <c r="O50" i="2" s="1"/>
  <c r="G51" i="2"/>
  <c r="G52" i="2"/>
  <c r="I52" i="2" s="1"/>
  <c r="G53" i="2"/>
  <c r="I53" i="2" s="1"/>
  <c r="G54" i="2"/>
  <c r="G55" i="2"/>
  <c r="I55" i="2" s="1"/>
  <c r="G56" i="2"/>
  <c r="G57" i="2"/>
  <c r="G58" i="2"/>
  <c r="I58" i="2" s="1"/>
  <c r="O58" i="2" s="1"/>
  <c r="G59" i="2"/>
  <c r="G60" i="2"/>
  <c r="I60" i="2" s="1"/>
  <c r="G61" i="2"/>
  <c r="I61" i="2" s="1"/>
  <c r="G62" i="2"/>
  <c r="G63" i="2"/>
  <c r="I63" i="2" s="1"/>
  <c r="G64" i="2"/>
  <c r="G65" i="2"/>
  <c r="G66" i="2"/>
  <c r="I66" i="2" s="1"/>
  <c r="O66" i="2" s="1"/>
  <c r="G67" i="2"/>
  <c r="G68" i="2"/>
  <c r="I68" i="2" s="1"/>
  <c r="G69" i="2"/>
  <c r="I69" i="2" s="1"/>
  <c r="G70" i="2"/>
  <c r="G71" i="2"/>
  <c r="I71" i="2" s="1"/>
  <c r="G72" i="2"/>
  <c r="G73" i="2"/>
  <c r="G74" i="2"/>
  <c r="I74" i="2" s="1"/>
  <c r="O74" i="2" s="1"/>
  <c r="G75" i="2"/>
  <c r="G76" i="2"/>
  <c r="I76" i="2" s="1"/>
  <c r="G77" i="2"/>
  <c r="I77" i="2" s="1"/>
  <c r="G78" i="2"/>
  <c r="G79" i="2"/>
  <c r="I79" i="2" s="1"/>
  <c r="G80" i="2"/>
  <c r="G81" i="2"/>
  <c r="G82" i="2"/>
  <c r="I82" i="2" s="1"/>
  <c r="O82" i="2" s="1"/>
  <c r="G83" i="2"/>
  <c r="G84" i="2"/>
  <c r="I84" i="2" s="1"/>
  <c r="G85" i="2"/>
  <c r="G86" i="2"/>
  <c r="G87" i="2"/>
  <c r="I87" i="2" s="1"/>
  <c r="G88" i="2"/>
  <c r="G89" i="2"/>
  <c r="G90" i="2"/>
  <c r="I90" i="2" s="1"/>
  <c r="O90" i="2" s="1"/>
  <c r="G91" i="2"/>
  <c r="G92" i="2"/>
  <c r="I92" i="2" s="1"/>
  <c r="G93" i="2"/>
  <c r="I93" i="2" s="1"/>
  <c r="G94" i="2"/>
  <c r="G95" i="2"/>
  <c r="I95" i="2" s="1"/>
  <c r="G96" i="2"/>
  <c r="G97" i="2"/>
  <c r="G98" i="2"/>
  <c r="I98" i="2" s="1"/>
  <c r="O98" i="2" s="1"/>
  <c r="G99" i="2"/>
  <c r="G100" i="2"/>
  <c r="I100" i="2" s="1"/>
  <c r="G101" i="2"/>
  <c r="G102" i="2"/>
  <c r="G103" i="2"/>
  <c r="I103" i="2" s="1"/>
  <c r="G104" i="2"/>
  <c r="G105" i="2"/>
  <c r="I105" i="2" s="1"/>
  <c r="O105" i="2" s="1"/>
  <c r="O6" i="2" l="1"/>
  <c r="I81" i="2"/>
  <c r="O81" i="2" s="1"/>
  <c r="I49" i="2"/>
  <c r="O49" i="2" s="1"/>
  <c r="I17" i="2"/>
  <c r="O17" i="2" s="1"/>
  <c r="J102" i="2"/>
  <c r="J86" i="2"/>
  <c r="J70" i="2"/>
  <c r="J62" i="2"/>
  <c r="J54" i="2"/>
  <c r="J46" i="2"/>
  <c r="J38" i="2"/>
  <c r="J30" i="2"/>
  <c r="J22" i="2"/>
  <c r="J14" i="2"/>
  <c r="I104" i="2"/>
  <c r="I96" i="2"/>
  <c r="O96" i="2" s="1"/>
  <c r="I88" i="2"/>
  <c r="I80" i="2"/>
  <c r="O80" i="2" s="1"/>
  <c r="I72" i="2"/>
  <c r="O72" i="2" s="1"/>
  <c r="I64" i="2"/>
  <c r="O64" i="2" s="1"/>
  <c r="I56" i="2"/>
  <c r="O56" i="2" s="1"/>
  <c r="I48" i="2"/>
  <c r="O48" i="2" s="1"/>
  <c r="I40" i="2"/>
  <c r="O40" i="2" s="1"/>
  <c r="I32" i="2"/>
  <c r="O32" i="2" s="1"/>
  <c r="I24" i="2"/>
  <c r="O24" i="2" s="1"/>
  <c r="I16" i="2"/>
  <c r="O16" i="2" s="1"/>
  <c r="I8" i="2"/>
  <c r="O8" i="2" s="1"/>
  <c r="J101" i="2"/>
  <c r="N101" i="2" s="1"/>
  <c r="J93" i="2"/>
  <c r="N93" i="2" s="1"/>
  <c r="J85" i="2"/>
  <c r="N85" i="2" s="1"/>
  <c r="J77" i="2"/>
  <c r="N77" i="2" s="1"/>
  <c r="J69" i="2"/>
  <c r="N69" i="2" s="1"/>
  <c r="J61" i="2"/>
  <c r="N61" i="2" s="1"/>
  <c r="J53" i="2"/>
  <c r="N53" i="2" s="1"/>
  <c r="J45" i="2"/>
  <c r="N45" i="2" s="1"/>
  <c r="J37" i="2"/>
  <c r="N37" i="2" s="1"/>
  <c r="J29" i="2"/>
  <c r="N29" i="2" s="1"/>
  <c r="J21" i="2"/>
  <c r="N21" i="2" s="1"/>
  <c r="J13" i="2"/>
  <c r="N13" i="2" s="1"/>
  <c r="I73" i="2"/>
  <c r="O73" i="2" s="1"/>
  <c r="I41" i="2"/>
  <c r="O41" i="2" s="1"/>
  <c r="J78" i="2"/>
  <c r="O79" i="2"/>
  <c r="O63" i="2"/>
  <c r="O39" i="2"/>
  <c r="O15" i="2"/>
  <c r="I102" i="2"/>
  <c r="O102" i="2" s="1"/>
  <c r="I94" i="2"/>
  <c r="O94" i="2" s="1"/>
  <c r="I86" i="2"/>
  <c r="O86" i="2" s="1"/>
  <c r="I78" i="2"/>
  <c r="O78" i="2" s="1"/>
  <c r="I70" i="2"/>
  <c r="I62" i="2"/>
  <c r="I54" i="2"/>
  <c r="I46" i="2"/>
  <c r="O46" i="2" s="1"/>
  <c r="I38" i="2"/>
  <c r="O38" i="2" s="1"/>
  <c r="I30" i="2"/>
  <c r="O30" i="2" s="1"/>
  <c r="I22" i="2"/>
  <c r="O22" i="2" s="1"/>
  <c r="I14" i="2"/>
  <c r="J99" i="2"/>
  <c r="J91" i="2"/>
  <c r="J83" i="2"/>
  <c r="J75" i="2"/>
  <c r="J67" i="2"/>
  <c r="N67" i="2" s="1"/>
  <c r="J59" i="2"/>
  <c r="N59" i="2" s="1"/>
  <c r="J51" i="2"/>
  <c r="J43" i="2"/>
  <c r="J35" i="2"/>
  <c r="J27" i="2"/>
  <c r="J19" i="2"/>
  <c r="J11" i="2"/>
  <c r="I97" i="2"/>
  <c r="O97" i="2" s="1"/>
  <c r="I65" i="2"/>
  <c r="O65" i="2" s="1"/>
  <c r="I9" i="2"/>
  <c r="O9" i="2" s="1"/>
  <c r="O103" i="2"/>
  <c r="O55" i="2"/>
  <c r="O31" i="2"/>
  <c r="I33" i="2"/>
  <c r="O33" i="2" s="1"/>
  <c r="O95" i="2"/>
  <c r="O100" i="2"/>
  <c r="O84" i="2"/>
  <c r="O68" i="2"/>
  <c r="O52" i="2"/>
  <c r="O44" i="2"/>
  <c r="O36" i="2"/>
  <c r="O28" i="2"/>
  <c r="O20" i="2"/>
  <c r="O12" i="2"/>
  <c r="J65" i="2"/>
  <c r="I89" i="2"/>
  <c r="O89" i="2" s="1"/>
  <c r="I57" i="2"/>
  <c r="O57" i="2" s="1"/>
  <c r="I25" i="2"/>
  <c r="O25" i="2" s="1"/>
  <c r="J94" i="2"/>
  <c r="O87" i="2"/>
  <c r="O71" i="2"/>
  <c r="O47" i="2"/>
  <c r="O23" i="2"/>
  <c r="O92" i="2"/>
  <c r="O76" i="2"/>
  <c r="O60" i="2"/>
  <c r="I99" i="2"/>
  <c r="O99" i="2" s="1"/>
  <c r="I91" i="2"/>
  <c r="O91" i="2" s="1"/>
  <c r="I83" i="2"/>
  <c r="O83" i="2" s="1"/>
  <c r="I75" i="2"/>
  <c r="I67" i="2"/>
  <c r="I59" i="2"/>
  <c r="I51" i="2"/>
  <c r="O51" i="2" s="1"/>
  <c r="I43" i="2"/>
  <c r="O43" i="2" s="1"/>
  <c r="I35" i="2"/>
  <c r="O35" i="2" s="1"/>
  <c r="I27" i="2"/>
  <c r="O27" i="2" s="1"/>
  <c r="I19" i="2"/>
  <c r="O19" i="2" s="1"/>
  <c r="I11" i="2"/>
  <c r="J104" i="2"/>
  <c r="J96" i="2"/>
  <c r="J88" i="2"/>
  <c r="N100" i="2"/>
  <c r="N92" i="2"/>
  <c r="N84" i="2"/>
  <c r="N76" i="2"/>
  <c r="N68" i="2"/>
  <c r="N60" i="2"/>
  <c r="N52" i="2"/>
  <c r="N44" i="2"/>
  <c r="N36" i="2"/>
  <c r="N28" i="2"/>
  <c r="N20" i="2"/>
  <c r="N12" i="2"/>
  <c r="O85" i="2"/>
  <c r="O21" i="2"/>
  <c r="O29" i="2"/>
  <c r="N83" i="2"/>
  <c r="N75" i="2"/>
  <c r="N51" i="2"/>
  <c r="N11" i="2"/>
  <c r="O77" i="2"/>
  <c r="N98" i="2"/>
  <c r="N90" i="2"/>
  <c r="N82" i="2"/>
  <c r="N74" i="2"/>
  <c r="N66" i="2"/>
  <c r="N58" i="2"/>
  <c r="N50" i="2"/>
  <c r="N42" i="2"/>
  <c r="N34" i="2"/>
  <c r="N26" i="2"/>
  <c r="N18" i="2"/>
  <c r="N10" i="2"/>
  <c r="N105" i="2"/>
  <c r="N89" i="2"/>
  <c r="N81" i="2"/>
  <c r="N57" i="2"/>
  <c r="N49" i="2"/>
  <c r="N41" i="2"/>
  <c r="N33" i="2"/>
  <c r="N17" i="2"/>
  <c r="N9" i="2"/>
  <c r="O61" i="2"/>
  <c r="N104" i="2"/>
  <c r="N88" i="2"/>
  <c r="N80" i="2"/>
  <c r="N72" i="2"/>
  <c r="N64" i="2"/>
  <c r="N56" i="2"/>
  <c r="N48" i="2"/>
  <c r="N40" i="2"/>
  <c r="N24" i="2"/>
  <c r="N16" i="2"/>
  <c r="N8" i="2"/>
  <c r="O53" i="2"/>
  <c r="O93" i="2"/>
  <c r="N103" i="2"/>
  <c r="N95" i="2"/>
  <c r="N87" i="2"/>
  <c r="N79" i="2"/>
  <c r="N71" i="2"/>
  <c r="N63" i="2"/>
  <c r="N55" i="2"/>
  <c r="N47" i="2"/>
  <c r="N39" i="2"/>
  <c r="N31" i="2"/>
  <c r="N23" i="2"/>
  <c r="N15" i="2"/>
  <c r="O45" i="2"/>
  <c r="N102" i="2"/>
  <c r="N86" i="2"/>
  <c r="N78" i="2"/>
  <c r="N70" i="2"/>
  <c r="N62" i="2"/>
  <c r="N54" i="2"/>
  <c r="N46" i="2"/>
  <c r="N38" i="2"/>
  <c r="N22" i="2"/>
  <c r="N14" i="2"/>
  <c r="O101" i="2"/>
  <c r="O37" i="2"/>
  <c r="N97" i="2" l="1"/>
  <c r="O88" i="2"/>
  <c r="N32" i="2"/>
  <c r="N96" i="2"/>
  <c r="O69" i="2"/>
  <c r="N19" i="2"/>
  <c r="O104" i="2"/>
  <c r="N27" i="2"/>
  <c r="N65" i="2"/>
  <c r="N35" i="2"/>
  <c r="N99" i="2"/>
  <c r="O54" i="2"/>
  <c r="N91" i="2"/>
  <c r="N94" i="2"/>
  <c r="N73" i="2"/>
  <c r="N43" i="2"/>
  <c r="O59" i="2"/>
  <c r="O62" i="2"/>
  <c r="O67" i="2"/>
  <c r="O70" i="2"/>
  <c r="N30" i="2"/>
  <c r="N25" i="2"/>
  <c r="O13" i="2"/>
  <c r="O11" i="2"/>
  <c r="O75" i="2"/>
  <c r="O14" i="2"/>
  <c r="G6" i="2" l="1"/>
  <c r="N107" i="2"/>
  <c r="B3" i="3" l="1"/>
  <c r="O107" i="2"/>
  <c r="B2" i="3"/>
  <c r="B4" i="3" l="1"/>
  <c r="B6" i="3" s="1"/>
  <c r="B5" i="3"/>
  <c r="B7" i="3" s="1"/>
</calcChain>
</file>

<file path=xl/sharedStrings.xml><?xml version="1.0" encoding="utf-8"?>
<sst xmlns="http://schemas.openxmlformats.org/spreadsheetml/2006/main" count="46" uniqueCount="46">
  <si>
    <t>MIE 446 Homework 1 — NACA 2412 pressure data</t>
  </si>
  <si>
    <t>Given condition</t>
  </si>
  <si>
    <t>Value</t>
  </si>
  <si>
    <t>How to use this workbook</t>
  </si>
  <si>
    <t>Airfoil</t>
  </si>
  <si>
    <t>NACA 2412</t>
  </si>
  <si>
    <t>Question 2: keep supplied Data unchanged. Compute upper/lower Cp, then normal and axial force contributions for each of 100 panels. Sum the panels and show formulas. No slopes or extra charts.</t>
  </si>
  <si>
    <t>Angle of attack, α (deg)</t>
  </si>
  <si>
    <t>Chord, c (m)</t>
  </si>
  <si>
    <t>Important: the tabulated pressures are generated from the assignment’s calibrated instructional pressure model. They are not experimental pressure-tap measurements.</t>
  </si>
  <si>
    <t>Freestream speed, V∞ (m/s)</t>
  </si>
  <si>
    <t>Density, ρ∞ (kg/m³)</t>
  </si>
  <si>
    <t>Compute pressure drag only. Skin-friction drag is not contained in surface-pressure data.</t>
  </si>
  <si>
    <t>Static pressure, p∞ (Pa)</t>
  </si>
  <si>
    <t>Number of surface stations</t>
  </si>
  <si>
    <t>Station spacing, Δ(x/c)</t>
  </si>
  <si>
    <t>References and provenance</t>
  </si>
  <si>
    <t>Geometry: NACA four-digit equations with m = 0.02, p = 0.40, t = 0.12 and a closed trailing edge. NASA OpenVSP cross-section reference: https://www.nasa.gov/reference/openvsp-cross-sections/</t>
  </si>
  <si>
    <t>Historical aerodynamic benchmark: Jacobs, Ward, and Pinkerton, NACA Report 460, The Characteristics of 78 Related Airfoil Sections, https://ntrs.nasa.gov/citations/19930091108</t>
  </si>
  <si>
    <t>The pressure model is constructed for this assignment and calibrated to produce a pre-stall lift coefficient near the published NACA 2412 trend at α = 5°. It is not a universal NACA 2412 pressure law.</t>
  </si>
  <si>
    <t>Pressure coefficient definition: Cp = (p − p∞)/q∞, with q∞ = ½ρ∞V∞².</t>
  </si>
  <si>
    <t>NACA 2412 — tabulated surface geometry and pressure</t>
  </si>
  <si>
    <t>α = 5°, c = 0.500 m, V∞ = 30.0 m/s, ρ∞ = 1.225 kg/m³, p∞ = 101325 Pa</t>
  </si>
  <si>
    <t>Station</t>
  </si>
  <si>
    <t>x/c</t>
  </si>
  <si>
    <t>yᵤ/c</t>
  </si>
  <si>
    <t>yₗ/c</t>
  </si>
  <si>
    <t>pᵤ (Pa)</t>
  </si>
  <si>
    <t>pₗ (Pa)</t>
  </si>
  <si>
    <t>cp,u</t>
  </si>
  <si>
    <t>cp,l</t>
  </si>
  <si>
    <t>mean cp,u</t>
  </si>
  <si>
    <t>mean cp,l</t>
  </si>
  <si>
    <t>Delta cA</t>
  </si>
  <si>
    <t>Delta CN</t>
  </si>
  <si>
    <t>Delta y,l</t>
  </si>
  <si>
    <t>Delta y,u</t>
  </si>
  <si>
    <t>Delta x</t>
  </si>
  <si>
    <t>Quantity</t>
  </si>
  <si>
    <t>CN</t>
  </si>
  <si>
    <t>CA</t>
  </si>
  <si>
    <t>CL</t>
  </si>
  <si>
    <t>CD,p</t>
  </si>
  <si>
    <t>Lift per span (N/m)</t>
  </si>
  <si>
    <t>Pressure drag per span (N/m)</t>
  </si>
  <si>
    <t>Q2: 100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</si>
</sst>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00"/>
    <numFmt numFmtId="166" formatCode="0.0000000000"/>
    <numFmt numFmtId="167" formatCode="0.0000"/>
  </numFmts>
  <fonts count="11" x14ac:knownFonts="1">
    <font>
      <sz val="11"/>
      <name val="Carlito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b/>
      <sz val="14"/>
      <color rgb="FF000000"/>
      <name val="Arial"/>
    </font>
    <font>
      <i/>
      <sz val="9"/>
      <color rgb="FF000000"/>
      <name val="Arial"/>
    </font>
    <font>
      <sz val="10"/>
      <name val="Arial"/>
    </font>
    <font>
      <b/>
      <sz val="10"/>
      <color rgb="FF000000"/>
      <name val="Arial"/>
      <family val="2"/>
    </font>
    <font>
      <b/>
      <sz val="11"/>
      <color rgb="FF17365D"/>
      <name val="Carlito"/>
      <family val="2"/>
    </font>
    <font>
      <sz val="11"/>
      <color rgb="FF172B4D"/>
      <name val="Calibri"/>
      <family val="2"/>
    </font>
    <font>
      <sz val="8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1" fillId="2" borderId="2" xfId="0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vertical="center"/>
    </xf>
    <xf numFmtId="1" fontId="3" fillId="0" borderId="4" xfId="0" applyNumberFormat="1" applyFont="1" applyBorder="1" applyAlignment="1">
      <alignment vertical="center"/>
    </xf>
    <xf numFmtId="1" fontId="3" fillId="0" borderId="5" xfId="0" applyNumberFormat="1" applyFont="1" applyBorder="1" applyAlignment="1">
      <alignment vertical="center"/>
    </xf>
    <xf numFmtId="2" fontId="3" fillId="0" borderId="3" xfId="0" applyNumberFormat="1" applyFont="1" applyBorder="1" applyAlignment="1">
      <alignment vertical="center"/>
    </xf>
    <xf numFmtId="2" fontId="3" fillId="0" borderId="4" xfId="0" applyNumberFormat="1" applyFont="1" applyBorder="1" applyAlignment="1">
      <alignment vertical="center"/>
    </xf>
    <xf numFmtId="2" fontId="3" fillId="0" borderId="5" xfId="0" applyNumberFormat="1" applyFont="1" applyBorder="1" applyAlignment="1">
      <alignment vertical="center"/>
    </xf>
    <xf numFmtId="165" fontId="3" fillId="0" borderId="3" xfId="0" applyNumberFormat="1" applyFont="1" applyBorder="1" applyAlignment="1">
      <alignment vertical="center"/>
    </xf>
    <xf numFmtId="165" fontId="3" fillId="0" borderId="4" xfId="0" applyNumberFormat="1" applyFont="1" applyBorder="1" applyAlignment="1">
      <alignment vertical="center"/>
    </xf>
    <xf numFmtId="165" fontId="3" fillId="0" borderId="5" xfId="0" applyNumberFormat="1" applyFont="1" applyBorder="1" applyAlignment="1">
      <alignment vertical="center"/>
    </xf>
    <xf numFmtId="164" fontId="3" fillId="0" borderId="3" xfId="0" applyNumberFormat="1" applyFont="1" applyBorder="1" applyAlignment="1">
      <alignment vertical="center"/>
    </xf>
    <xf numFmtId="164" fontId="3" fillId="0" borderId="4" xfId="0" applyNumberFormat="1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0" fontId="6" fillId="0" borderId="0" xfId="0" applyFont="1"/>
    <xf numFmtId="0" fontId="6" fillId="0" borderId="1" xfId="0" applyFont="1" applyBorder="1"/>
    <xf numFmtId="0" fontId="1" fillId="0" borderId="0" xfId="0" applyFont="1" applyAlignment="1">
      <alignment vertical="center"/>
    </xf>
    <xf numFmtId="0" fontId="1" fillId="2" borderId="2" xfId="0" applyFont="1" applyFill="1" applyBorder="1"/>
    <xf numFmtId="0" fontId="2" fillId="0" borderId="0" xfId="0" applyFont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8" fillId="0" borderId="0" xfId="0" applyFont="1"/>
    <xf numFmtId="166" fontId="9" fillId="0" borderId="0" xfId="0" applyNumberFormat="1" applyFont="1"/>
    <xf numFmtId="167" fontId="9" fillId="0" borderId="0" xfId="0" applyNumberFormat="1" applyFont="1"/>
    <xf numFmtId="0" fontId="0" fillId="3" borderId="0" xfId="0" applyFill="1"/>
    <xf numFmtId="0" fontId="0" fillId="3" borderId="4" xfId="0" applyFill="1" applyBorder="1"/>
    <xf numFmtId="2" fontId="0" fillId="3" borderId="4" xfId="0" applyNumberFormat="1" applyFill="1" applyBorder="1"/>
    <xf numFmtId="165" fontId="0" fillId="3" borderId="4" xfId="0" applyNumberFormat="1" applyFill="1" applyBorder="1"/>
    <xf numFmtId="0" fontId="0" fillId="3" borderId="5" xfId="0" applyFill="1" applyBorder="1"/>
    <xf numFmtId="2" fontId="0" fillId="3" borderId="5" xfId="0" applyNumberFormat="1" applyFill="1" applyBorder="1"/>
    <xf numFmtId="165" fontId="0" fillId="3" borderId="5" xfId="0" applyNumberFormat="1" applyFill="1" applyBorder="1"/>
    <xf numFmtId="0" fontId="1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0" xfId="0" applyFont="1" applyFill="1"/>
    <xf numFmtId="0" fontId="9" fillId="3" borderId="0" xfId="0" applyFont="1" applyFill="1"/>
    <xf numFmtId="166" fontId="9" fillId="3" borderId="0" xfId="0" applyNumberFormat="1" applyFont="1" applyFill="1"/>
    <xf numFmtId="167" fontId="9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workbookViewId="0"/>
  </sheetViews>
  <sheetFormatPr defaultRowHeight="14.4" x14ac:dyDescent="0.3"/>
  <cols>
    <col min="1" max="1" width="31" customWidth="1"/>
    <col min="2" max="2" width="16" customWidth="1"/>
    <col min="3" max="3" width="3" customWidth="1"/>
    <col min="4" max="8" width="18" customWidth="1"/>
  </cols>
  <sheetData>
    <row r="1" spans="1:8" x14ac:dyDescent="0.3">
      <c r="A1" s="18"/>
      <c r="B1" s="18"/>
      <c r="C1" s="18"/>
      <c r="D1" s="18"/>
      <c r="E1" s="18"/>
      <c r="F1" s="18"/>
      <c r="G1" s="18"/>
      <c r="H1" s="18"/>
    </row>
    <row r="2" spans="1:8" x14ac:dyDescent="0.3">
      <c r="A2" s="20" t="s">
        <v>0</v>
      </c>
      <c r="B2" s="20"/>
      <c r="C2" s="20"/>
      <c r="D2" s="20"/>
      <c r="E2" s="20"/>
      <c r="F2" s="20"/>
      <c r="G2" s="20"/>
      <c r="H2" s="20"/>
    </row>
    <row r="3" spans="1:8" x14ac:dyDescent="0.3">
      <c r="A3" s="19"/>
      <c r="B3" s="19"/>
      <c r="C3" s="19"/>
      <c r="D3" s="19"/>
      <c r="E3" s="19"/>
      <c r="F3" s="19"/>
      <c r="G3" s="19"/>
      <c r="H3" s="19"/>
    </row>
    <row r="4" spans="1:8" x14ac:dyDescent="0.3">
      <c r="A4" s="18"/>
      <c r="B4" s="18"/>
      <c r="C4" s="18"/>
      <c r="D4" s="18"/>
      <c r="E4" s="18"/>
      <c r="F4" s="18"/>
      <c r="G4" s="18"/>
      <c r="H4" s="18"/>
    </row>
    <row r="5" spans="1:8" x14ac:dyDescent="0.3">
      <c r="A5" s="1" t="s">
        <v>1</v>
      </c>
      <c r="B5" s="1" t="s">
        <v>2</v>
      </c>
      <c r="C5" s="18"/>
      <c r="D5" s="21" t="s">
        <v>3</v>
      </c>
      <c r="E5" s="21"/>
      <c r="F5" s="21"/>
      <c r="G5" s="21"/>
      <c r="H5" s="21"/>
    </row>
    <row r="6" spans="1:8" ht="27" customHeight="1" x14ac:dyDescent="0.3">
      <c r="A6" s="2" t="s">
        <v>4</v>
      </c>
      <c r="B6" s="2" t="s">
        <v>5</v>
      </c>
      <c r="C6" s="18"/>
      <c r="D6" s="22" t="s">
        <v>6</v>
      </c>
      <c r="E6" s="22"/>
      <c r="F6" s="22"/>
      <c r="G6" s="22"/>
      <c r="H6" s="22"/>
    </row>
    <row r="7" spans="1:8" ht="27" customHeight="1" x14ac:dyDescent="0.3">
      <c r="A7" s="3" t="s">
        <v>7</v>
      </c>
      <c r="B7" s="4">
        <v>5</v>
      </c>
      <c r="C7" s="18"/>
      <c r="D7" s="22"/>
      <c r="E7" s="22"/>
      <c r="F7" s="22"/>
      <c r="G7" s="22"/>
      <c r="H7" s="22"/>
    </row>
    <row r="8" spans="1:8" ht="27" customHeight="1" x14ac:dyDescent="0.3">
      <c r="A8" s="3" t="s">
        <v>8</v>
      </c>
      <c r="B8" s="4">
        <v>0.5</v>
      </c>
      <c r="C8" s="18"/>
      <c r="D8" s="23" t="s">
        <v>9</v>
      </c>
      <c r="E8" s="23"/>
      <c r="F8" s="23"/>
      <c r="G8" s="23"/>
      <c r="H8" s="23"/>
    </row>
    <row r="9" spans="1:8" ht="27" customHeight="1" x14ac:dyDescent="0.3">
      <c r="A9" s="3" t="s">
        <v>10</v>
      </c>
      <c r="B9" s="4">
        <v>30</v>
      </c>
      <c r="C9" s="18"/>
      <c r="D9" s="22"/>
      <c r="E9" s="22"/>
      <c r="F9" s="22"/>
      <c r="G9" s="22"/>
      <c r="H9" s="22"/>
    </row>
    <row r="10" spans="1:8" ht="27" customHeight="1" x14ac:dyDescent="0.3">
      <c r="A10" s="3" t="s">
        <v>11</v>
      </c>
      <c r="B10" s="4">
        <v>1.2250000000000001</v>
      </c>
      <c r="C10" s="18"/>
      <c r="D10" s="22" t="s">
        <v>12</v>
      </c>
      <c r="E10" s="22"/>
      <c r="F10" s="22"/>
      <c r="G10" s="22"/>
      <c r="H10" s="22"/>
    </row>
    <row r="11" spans="1:8" ht="27" customHeight="1" x14ac:dyDescent="0.3">
      <c r="A11" s="3" t="s">
        <v>13</v>
      </c>
      <c r="B11" s="4">
        <v>101325</v>
      </c>
      <c r="C11" s="18"/>
      <c r="D11" s="22"/>
      <c r="E11" s="22"/>
      <c r="F11" s="22"/>
      <c r="G11" s="22"/>
      <c r="H11" s="22"/>
    </row>
    <row r="12" spans="1:8" x14ac:dyDescent="0.3">
      <c r="A12" s="3" t="s">
        <v>14</v>
      </c>
      <c r="B12" s="4">
        <v>101</v>
      </c>
      <c r="C12" s="18"/>
      <c r="D12" s="18"/>
      <c r="E12" s="18"/>
      <c r="F12" s="18"/>
      <c r="G12" s="18"/>
      <c r="H12" s="18"/>
    </row>
    <row r="13" spans="1:8" x14ac:dyDescent="0.3">
      <c r="A13" s="3" t="s">
        <v>15</v>
      </c>
      <c r="B13" s="4">
        <v>0.01</v>
      </c>
      <c r="C13" s="18"/>
      <c r="D13" s="18"/>
      <c r="E13" s="18"/>
      <c r="F13" s="18"/>
      <c r="G13" s="18"/>
      <c r="H13" s="18"/>
    </row>
    <row r="14" spans="1:8" x14ac:dyDescent="0.3">
      <c r="A14" s="18"/>
      <c r="B14" s="18"/>
      <c r="C14" s="18"/>
      <c r="D14" s="18"/>
      <c r="E14" s="18"/>
      <c r="F14" s="18"/>
      <c r="G14" s="18"/>
      <c r="H14" s="18"/>
    </row>
    <row r="15" spans="1:8" x14ac:dyDescent="0.3">
      <c r="A15" s="18"/>
      <c r="B15" s="18"/>
      <c r="C15" s="18"/>
      <c r="D15" s="18"/>
      <c r="E15" s="18"/>
      <c r="F15" s="18"/>
      <c r="G15" s="18"/>
      <c r="H15" s="18"/>
    </row>
    <row r="16" spans="1:8" x14ac:dyDescent="0.3">
      <c r="A16" s="21" t="s">
        <v>16</v>
      </c>
      <c r="B16" s="21"/>
      <c r="C16" s="21"/>
      <c r="D16" s="21"/>
      <c r="E16" s="21"/>
      <c r="F16" s="21"/>
      <c r="G16" s="21"/>
      <c r="H16" s="21"/>
    </row>
    <row r="17" spans="1:8" ht="34.049999999999997" customHeight="1" x14ac:dyDescent="0.3">
      <c r="A17" s="22" t="s">
        <v>17</v>
      </c>
      <c r="B17" s="22"/>
      <c r="C17" s="22"/>
      <c r="D17" s="22"/>
      <c r="E17" s="22"/>
      <c r="F17" s="22"/>
      <c r="G17" s="22"/>
      <c r="H17" s="22"/>
    </row>
    <row r="18" spans="1:8" ht="34.049999999999997" customHeight="1" x14ac:dyDescent="0.3">
      <c r="A18" s="22" t="s">
        <v>18</v>
      </c>
      <c r="B18" s="22"/>
      <c r="C18" s="22"/>
      <c r="D18" s="22"/>
      <c r="E18" s="22"/>
      <c r="F18" s="22"/>
      <c r="G18" s="22"/>
      <c r="H18" s="22"/>
    </row>
    <row r="19" spans="1:8" ht="34.049999999999997" customHeight="1" x14ac:dyDescent="0.3">
      <c r="A19" s="22" t="s">
        <v>19</v>
      </c>
      <c r="B19" s="22"/>
      <c r="C19" s="22"/>
      <c r="D19" s="22"/>
      <c r="E19" s="22"/>
      <c r="F19" s="22"/>
      <c r="G19" s="22"/>
      <c r="H19" s="22"/>
    </row>
    <row r="20" spans="1:8" ht="34.049999999999997" customHeight="1" x14ac:dyDescent="0.3">
      <c r="A20" s="22" t="s">
        <v>20</v>
      </c>
      <c r="B20" s="22"/>
      <c r="C20" s="22"/>
      <c r="D20" s="22"/>
      <c r="E20" s="22"/>
      <c r="F20" s="22"/>
      <c r="G20" s="22"/>
      <c r="H20" s="22"/>
    </row>
    <row r="21" spans="1:8" x14ac:dyDescent="0.3">
      <c r="A21" s="18"/>
      <c r="B21" s="18"/>
      <c r="C21" s="18"/>
      <c r="D21" s="18"/>
      <c r="E21" s="18"/>
      <c r="F21" s="18"/>
      <c r="G21" s="18"/>
      <c r="H21" s="18"/>
    </row>
    <row r="22" spans="1:8" x14ac:dyDescent="0.3">
      <c r="A22" s="18"/>
      <c r="B22" s="18"/>
      <c r="C22" s="18"/>
      <c r="D22" s="18"/>
      <c r="E22" s="18"/>
      <c r="F22" s="18"/>
      <c r="G22" s="18"/>
      <c r="H22" s="18"/>
    </row>
    <row r="23" spans="1:8" x14ac:dyDescent="0.3">
      <c r="A23" s="18"/>
      <c r="B23" s="18"/>
      <c r="C23" s="18"/>
      <c r="D23" s="18"/>
      <c r="E23" s="18"/>
      <c r="F23" s="18"/>
      <c r="G23" s="18"/>
      <c r="H23" s="18"/>
    </row>
    <row r="24" spans="1:8" x14ac:dyDescent="0.3">
      <c r="A24" s="18"/>
      <c r="B24" s="18"/>
      <c r="C24" s="18"/>
      <c r="D24" s="18"/>
      <c r="E24" s="18"/>
      <c r="F24" s="18"/>
      <c r="G24" s="18"/>
      <c r="H24" s="18"/>
    </row>
    <row r="25" spans="1:8" x14ac:dyDescent="0.3">
      <c r="A25" s="18"/>
      <c r="B25" s="18"/>
      <c r="C25" s="18"/>
      <c r="D25" s="18"/>
      <c r="E25" s="18"/>
      <c r="F25" s="18"/>
      <c r="G25" s="18"/>
      <c r="H25" s="18"/>
    </row>
  </sheetData>
  <mergeCells count="13">
    <mergeCell ref="A18:H18"/>
    <mergeCell ref="A19:H19"/>
    <mergeCell ref="A20:H20"/>
    <mergeCell ref="D9:H9"/>
    <mergeCell ref="D10:H10"/>
    <mergeCell ref="D11:H11"/>
    <mergeCell ref="A16:H16"/>
    <mergeCell ref="A17:H17"/>
    <mergeCell ref="A2:H2"/>
    <mergeCell ref="D5:H5"/>
    <mergeCell ref="D6:H6"/>
    <mergeCell ref="D7:H7"/>
    <mergeCell ref="D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07"/>
  <sheetViews>
    <sheetView showGridLines="0" tabSelected="1" topLeftCell="C1" workbookViewId="0">
      <pane ySplit="5" topLeftCell="A6" activePane="bottomLeft" state="frozen"/>
      <selection pane="bottomLeft" activeCell="O9" sqref="O9"/>
    </sheetView>
  </sheetViews>
  <sheetFormatPr defaultRowHeight="14.4" x14ac:dyDescent="0.3"/>
  <cols>
    <col min="1" max="1" width="11" customWidth="1"/>
    <col min="2" max="4" width="15" customWidth="1"/>
    <col min="5" max="6" width="16" customWidth="1"/>
    <col min="7" max="7" width="14.5546875" customWidth="1"/>
    <col min="8" max="8" width="12.109375" customWidth="1"/>
    <col min="9" max="9" width="13.44140625" customWidth="1"/>
    <col min="10" max="10" width="14.33203125" customWidth="1"/>
    <col min="12" max="12" width="13.5546875" customWidth="1"/>
    <col min="13" max="13" width="11.21875" bestFit="1" customWidth="1"/>
    <col min="14" max="14" width="12" customWidth="1"/>
    <col min="15" max="15" width="22" customWidth="1"/>
  </cols>
  <sheetData>
    <row r="2" spans="1:15" ht="17.399999999999999" x14ac:dyDescent="0.3">
      <c r="A2" s="24" t="s">
        <v>21</v>
      </c>
      <c r="B2" s="24"/>
      <c r="C2" s="24"/>
      <c r="D2" s="24"/>
      <c r="E2" s="24"/>
      <c r="F2" s="24"/>
    </row>
    <row r="3" spans="1:15" x14ac:dyDescent="0.3">
      <c r="A3" s="25" t="s">
        <v>22</v>
      </c>
      <c r="B3" s="25"/>
      <c r="C3" s="25"/>
      <c r="D3" s="25"/>
      <c r="E3" s="25"/>
      <c r="F3" s="25"/>
    </row>
    <row r="5" spans="1:15" ht="19.05" customHeight="1" x14ac:dyDescent="0.3">
      <c r="A5" s="5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36" t="s">
        <v>29</v>
      </c>
      <c r="H5" s="36" t="s">
        <v>30</v>
      </c>
      <c r="I5" s="37" t="s">
        <v>31</v>
      </c>
      <c r="J5" s="37" t="s">
        <v>32</v>
      </c>
      <c r="K5" s="37" t="s">
        <v>37</v>
      </c>
      <c r="L5" s="37" t="s">
        <v>36</v>
      </c>
      <c r="M5" s="37" t="s">
        <v>35</v>
      </c>
      <c r="N5" s="37" t="s">
        <v>34</v>
      </c>
      <c r="O5" s="37" t="s">
        <v>33</v>
      </c>
    </row>
    <row r="6" spans="1:15" ht="19.05" customHeight="1" x14ac:dyDescent="0.3">
      <c r="A6" s="6">
        <v>1</v>
      </c>
      <c r="B6" s="9">
        <v>0</v>
      </c>
      <c r="C6" s="12">
        <v>0</v>
      </c>
      <c r="D6" s="12">
        <v>0</v>
      </c>
      <c r="E6" s="15">
        <v>101876.25</v>
      </c>
      <c r="F6" s="15">
        <v>101876.25</v>
      </c>
      <c r="G6" s="30">
        <f>H6</f>
        <v>1</v>
      </c>
      <c r="H6" s="30">
        <f>(F6-101325)/551.25</f>
        <v>1</v>
      </c>
      <c r="I6" s="30">
        <f t="shared" ref="I6:I70" si="0">(G6+G7)/2</f>
        <v>-0.3222464000194174</v>
      </c>
      <c r="J6" s="30">
        <f t="shared" ref="J6:J70" si="1">(H6+H7)/2</f>
        <v>0.98187883509024176</v>
      </c>
      <c r="K6" s="31">
        <f>B7-B6</f>
        <v>0.01</v>
      </c>
      <c r="L6" s="32">
        <f t="shared" ref="L6:L70" si="2">C7-C6</f>
        <v>1.8024573958399997E-2</v>
      </c>
      <c r="M6" s="32">
        <f t="shared" ref="M6:M70" si="3">D7-D6</f>
        <v>-1.6049573958399999E-2</v>
      </c>
      <c r="N6" s="30">
        <f t="shared" ref="N6:N70" si="4">(J6-I6)*K6</f>
        <v>1.3041252351096592E-2</v>
      </c>
      <c r="O6" s="30">
        <f t="shared" ref="O6:O70" si="5">(I6*L6)-(J6*M6)</f>
        <v>9.9503829119903311E-3</v>
      </c>
    </row>
    <row r="7" spans="1:15" ht="19.05" customHeight="1" x14ac:dyDescent="0.3">
      <c r="A7" s="7">
        <v>2</v>
      </c>
      <c r="B7" s="10">
        <v>0.01</v>
      </c>
      <c r="C7" s="13">
        <v>1.8024573958399997E-2</v>
      </c>
      <c r="D7" s="13">
        <v>-1.6049573958399999E-2</v>
      </c>
      <c r="E7" s="16">
        <v>100418.47334397859</v>
      </c>
      <c r="F7" s="16">
        <v>101856.27141568699</v>
      </c>
      <c r="G7" s="30">
        <f t="shared" ref="G7:G69" si="6">(E7-101325)/551.25</f>
        <v>-1.6444928000388348</v>
      </c>
      <c r="H7" s="30">
        <f t="shared" ref="H7:H70" si="7">(F7-101325)/551.25</f>
        <v>0.96375767018048353</v>
      </c>
      <c r="I7" s="30">
        <f t="shared" si="0"/>
        <v>-1.9174128739277452</v>
      </c>
      <c r="J7" s="30">
        <f t="shared" si="1"/>
        <v>0.91599808300625174</v>
      </c>
      <c r="K7" s="31">
        <f t="shared" ref="K7:K70" si="8">B8-B7</f>
        <v>0.01</v>
      </c>
      <c r="L7" s="32">
        <f t="shared" si="2"/>
        <v>7.5231971361143166E-3</v>
      </c>
      <c r="M7" s="32">
        <f t="shared" si="3"/>
        <v>-5.5981971361143135E-3</v>
      </c>
      <c r="N7" s="30">
        <f t="shared" si="4"/>
        <v>2.8334109569339967E-2</v>
      </c>
      <c r="O7" s="30">
        <f t="shared" si="5"/>
        <v>-9.2971371969101345E-3</v>
      </c>
    </row>
    <row r="8" spans="1:15" ht="19.05" customHeight="1" x14ac:dyDescent="0.3">
      <c r="A8" s="7">
        <v>3</v>
      </c>
      <c r="B8" s="10">
        <v>0.02</v>
      </c>
      <c r="C8" s="13">
        <v>2.5547771094514313E-2</v>
      </c>
      <c r="D8" s="13">
        <v>-2.1647771094514313E-2</v>
      </c>
      <c r="E8" s="16">
        <v>100117.57896251607</v>
      </c>
      <c r="F8" s="16">
        <v>101803.6164708274</v>
      </c>
      <c r="G8" s="30">
        <f t="shared" si="6"/>
        <v>-2.1903329478166556</v>
      </c>
      <c r="H8" s="30">
        <f t="shared" si="7"/>
        <v>0.86823849583201984</v>
      </c>
      <c r="I8" s="30">
        <f t="shared" si="0"/>
        <v>-2.1859251055539013</v>
      </c>
      <c r="J8" s="30">
        <f t="shared" si="1"/>
        <v>0.83118778410742</v>
      </c>
      <c r="K8" s="31">
        <f t="shared" si="8"/>
        <v>9.9999999999999985E-3</v>
      </c>
      <c r="L8" s="32">
        <f t="shared" si="2"/>
        <v>5.7411733019176632E-3</v>
      </c>
      <c r="M8" s="32">
        <f t="shared" si="3"/>
        <v>-3.8661733019176685E-3</v>
      </c>
      <c r="N8" s="30">
        <f t="shared" si="4"/>
        <v>3.0171128896613209E-2</v>
      </c>
      <c r="O8" s="30">
        <f t="shared" si="5"/>
        <v>-9.3362588362013929E-3</v>
      </c>
    </row>
    <row r="9" spans="1:15" ht="19.05" customHeight="1" x14ac:dyDescent="0.3">
      <c r="A9" s="7">
        <v>4</v>
      </c>
      <c r="B9" s="10">
        <v>0.03</v>
      </c>
      <c r="C9" s="13">
        <v>3.1288944396431977E-2</v>
      </c>
      <c r="D9" s="13">
        <v>-2.5513944396431981E-2</v>
      </c>
      <c r="E9" s="16">
        <v>100122.43860861076</v>
      </c>
      <c r="F9" s="16">
        <v>101762.76806115103</v>
      </c>
      <c r="G9" s="30">
        <f t="shared" si="6"/>
        <v>-2.181517263291147</v>
      </c>
      <c r="H9" s="30">
        <f t="shared" si="7"/>
        <v>0.79413707238282005</v>
      </c>
      <c r="I9" s="30">
        <f t="shared" si="0"/>
        <v>-2.1099291886244433</v>
      </c>
      <c r="J9" s="30">
        <f t="shared" si="1"/>
        <v>0.76661032478096991</v>
      </c>
      <c r="K9" s="31">
        <f t="shared" si="8"/>
        <v>1.0000000000000002E-2</v>
      </c>
      <c r="L9" s="32">
        <f t="shared" si="2"/>
        <v>4.7882775939680211E-3</v>
      </c>
      <c r="M9" s="32">
        <f t="shared" si="3"/>
        <v>-2.9632775939680209E-3</v>
      </c>
      <c r="N9" s="30">
        <f t="shared" si="4"/>
        <v>2.8765395134054142E-2</v>
      </c>
      <c r="O9" s="30">
        <f t="shared" si="5"/>
        <v>-7.8312474600215516E-3</v>
      </c>
    </row>
    <row r="10" spans="1:15" ht="19.05" customHeight="1" x14ac:dyDescent="0.3">
      <c r="A10" s="7">
        <v>5</v>
      </c>
      <c r="B10" s="10">
        <v>0.04</v>
      </c>
      <c r="C10" s="13">
        <v>3.6077221990399998E-2</v>
      </c>
      <c r="D10" s="13">
        <v>-2.8477221990400002E-2</v>
      </c>
      <c r="E10" s="16">
        <v>100201.3644609308</v>
      </c>
      <c r="F10" s="16">
        <v>101732.41982191999</v>
      </c>
      <c r="G10" s="30">
        <f t="shared" si="6"/>
        <v>-2.0383411139577401</v>
      </c>
      <c r="H10" s="30">
        <f t="shared" si="7"/>
        <v>0.73908357717911977</v>
      </c>
      <c r="I10" s="30">
        <f t="shared" si="0"/>
        <v>-1.9586163494984099</v>
      </c>
      <c r="J10" s="30">
        <f t="shared" si="1"/>
        <v>0.71740629916357057</v>
      </c>
      <c r="K10" s="31">
        <f t="shared" si="8"/>
        <v>1.0000000000000002E-2</v>
      </c>
      <c r="L10" s="32">
        <f t="shared" si="2"/>
        <v>4.1571269607812572E-3</v>
      </c>
      <c r="M10" s="32">
        <f t="shared" si="3"/>
        <v>-2.3821269607812549E-3</v>
      </c>
      <c r="N10" s="30">
        <f t="shared" si="4"/>
        <v>2.6760226486619812E-2</v>
      </c>
      <c r="O10" s="30">
        <f t="shared" si="5"/>
        <v>-6.4332639452549609E-3</v>
      </c>
    </row>
    <row r="11" spans="1:15" ht="19.05" customHeight="1" x14ac:dyDescent="0.3">
      <c r="A11" s="7">
        <v>6</v>
      </c>
      <c r="B11" s="10">
        <v>0.05</v>
      </c>
      <c r="C11" s="13">
        <v>4.0234348951181255E-2</v>
      </c>
      <c r="D11" s="13">
        <v>-3.0859348951181257E-2</v>
      </c>
      <c r="E11" s="16">
        <v>100289.26101374721</v>
      </c>
      <c r="F11" s="16">
        <v>101708.52062290785</v>
      </c>
      <c r="G11" s="30">
        <f t="shared" si="6"/>
        <v>-1.8788915850390795</v>
      </c>
      <c r="H11" s="30">
        <f t="shared" si="7"/>
        <v>0.69572902114802126</v>
      </c>
      <c r="I11" s="30">
        <f t="shared" si="0"/>
        <v>-1.8062425992594817</v>
      </c>
      <c r="J11" s="30">
        <f t="shared" si="1"/>
        <v>0.67766999862956145</v>
      </c>
      <c r="K11" s="31">
        <f t="shared" si="8"/>
        <v>9.999999999999995E-3</v>
      </c>
      <c r="L11" s="32">
        <f t="shared" si="2"/>
        <v>3.6914450131582677E-3</v>
      </c>
      <c r="M11" s="32">
        <f t="shared" si="3"/>
        <v>-1.9664450131582668E-3</v>
      </c>
      <c r="N11" s="30">
        <f t="shared" si="4"/>
        <v>2.483912597889042E-2</v>
      </c>
      <c r="O11" s="30">
        <f t="shared" si="5"/>
        <v>-5.3350444462183701E-3</v>
      </c>
    </row>
    <row r="12" spans="1:15" ht="19.05" customHeight="1" x14ac:dyDescent="0.3">
      <c r="A12" s="7">
        <v>7</v>
      </c>
      <c r="B12" s="10">
        <v>0.06</v>
      </c>
      <c r="C12" s="13">
        <v>4.3925793964339523E-2</v>
      </c>
      <c r="D12" s="13">
        <v>-3.2825793964339524E-2</v>
      </c>
      <c r="E12" s="16">
        <v>100369.35652056921</v>
      </c>
      <c r="F12" s="16">
        <v>101688.61055058124</v>
      </c>
      <c r="G12" s="30">
        <f t="shared" si="6"/>
        <v>-1.7335936134798842</v>
      </c>
      <c r="H12" s="30">
        <f t="shared" si="7"/>
        <v>0.65961097611110164</v>
      </c>
      <c r="I12" s="30">
        <f t="shared" si="0"/>
        <v>-1.6705162693069939</v>
      </c>
      <c r="J12" s="30">
        <f t="shared" si="1"/>
        <v>0.64400493926694669</v>
      </c>
      <c r="K12" s="31">
        <f t="shared" si="8"/>
        <v>1.0000000000000009E-2</v>
      </c>
      <c r="L12" s="32">
        <f t="shared" si="2"/>
        <v>3.3244323693650962E-3</v>
      </c>
      <c r="M12" s="32">
        <f t="shared" si="3"/>
        <v>-1.6494323693651003E-3</v>
      </c>
      <c r="N12" s="30">
        <f t="shared" si="4"/>
        <v>2.3145212085739424E-2</v>
      </c>
      <c r="O12" s="30">
        <f t="shared" si="5"/>
        <v>-4.491275766377284E-3</v>
      </c>
    </row>
    <row r="13" spans="1:15" ht="19.05" customHeight="1" x14ac:dyDescent="0.3">
      <c r="A13" s="7">
        <v>8</v>
      </c>
      <c r="B13" s="10">
        <v>7.0000000000000007E-2</v>
      </c>
      <c r="C13" s="13">
        <v>4.7250226333704619E-2</v>
      </c>
      <c r="D13" s="13">
        <v>-3.4475226333704624E-2</v>
      </c>
      <c r="E13" s="16">
        <v>100438.89929251983</v>
      </c>
      <c r="F13" s="16">
        <v>101671.40489496056</v>
      </c>
      <c r="G13" s="30">
        <f t="shared" si="6"/>
        <v>-1.6074389251341037</v>
      </c>
      <c r="H13" s="30">
        <f t="shared" si="7"/>
        <v>0.62839890242279184</v>
      </c>
      <c r="I13" s="30">
        <f t="shared" si="0"/>
        <v>-1.5530522113947738</v>
      </c>
      <c r="J13" s="30">
        <f t="shared" si="1"/>
        <v>0.61461923095716275</v>
      </c>
      <c r="K13" s="31">
        <f t="shared" si="8"/>
        <v>9.999999999999995E-3</v>
      </c>
      <c r="L13" s="32">
        <f t="shared" si="2"/>
        <v>3.0220213529240023E-3</v>
      </c>
      <c r="M13" s="32">
        <f t="shared" si="3"/>
        <v>-1.3970213529240008E-3</v>
      </c>
      <c r="N13" s="30">
        <f t="shared" si="4"/>
        <v>2.1676714423519358E-2</v>
      </c>
      <c r="O13" s="30">
        <f t="shared" si="5"/>
        <v>-3.8347207554759633E-3</v>
      </c>
    </row>
    <row r="14" spans="1:15" ht="19.05" customHeight="1" x14ac:dyDescent="0.3">
      <c r="A14" s="7">
        <v>9</v>
      </c>
      <c r="B14" s="10">
        <v>0.08</v>
      </c>
      <c r="C14" s="13">
        <v>5.0272247686628621E-2</v>
      </c>
      <c r="D14" s="13">
        <v>-3.5872247686628625E-2</v>
      </c>
      <c r="E14" s="16">
        <v>100498.86064441744</v>
      </c>
      <c r="F14" s="16">
        <v>101656.21280716971</v>
      </c>
      <c r="G14" s="30">
        <f t="shared" si="6"/>
        <v>-1.4986654976554439</v>
      </c>
      <c r="H14" s="30">
        <f t="shared" si="7"/>
        <v>0.60083955949153367</v>
      </c>
      <c r="I14" s="30">
        <f t="shared" si="0"/>
        <v>-1.4514718566720781</v>
      </c>
      <c r="J14" s="30">
        <f t="shared" si="1"/>
        <v>0.58851109767671095</v>
      </c>
      <c r="K14" s="31">
        <f t="shared" si="8"/>
        <v>9.999999999999995E-3</v>
      </c>
      <c r="L14" s="32">
        <f t="shared" si="2"/>
        <v>2.7647508157713774E-3</v>
      </c>
      <c r="M14" s="32">
        <f t="shared" si="3"/>
        <v>-1.1897508157713843E-3</v>
      </c>
      <c r="N14" s="30">
        <f t="shared" si="4"/>
        <v>2.0399829543487881E-2</v>
      </c>
      <c r="O14" s="30">
        <f t="shared" si="5"/>
        <v>-3.3127764412519438E-3</v>
      </c>
    </row>
    <row r="15" spans="1:15" ht="19.05" customHeight="1" x14ac:dyDescent="0.3">
      <c r="A15" s="7">
        <v>10</v>
      </c>
      <c r="B15" s="10">
        <v>0.09</v>
      </c>
      <c r="C15" s="13">
        <v>5.3036998502399998E-2</v>
      </c>
      <c r="D15" s="13">
        <v>-3.7061998502400009E-2</v>
      </c>
      <c r="E15" s="16">
        <v>100550.8916336016</v>
      </c>
      <c r="F15" s="16">
        <v>101642.62067801887</v>
      </c>
      <c r="G15" s="30">
        <f t="shared" si="6"/>
        <v>-1.4042782156887124</v>
      </c>
      <c r="H15" s="30">
        <f t="shared" si="7"/>
        <v>0.57618263586188823</v>
      </c>
      <c r="I15" s="30">
        <f t="shared" si="0"/>
        <v>-1.3629076677902634</v>
      </c>
      <c r="J15" s="30">
        <f t="shared" si="1"/>
        <v>0.56505097634051582</v>
      </c>
      <c r="K15" s="31">
        <f t="shared" si="8"/>
        <v>1.0000000000000009E-2</v>
      </c>
      <c r="L15" s="32">
        <f t="shared" si="2"/>
        <v>2.5405797358395085E-3</v>
      </c>
      <c r="M15" s="32">
        <f t="shared" si="3"/>
        <v>-1.0155797358394961E-3</v>
      </c>
      <c r="N15" s="30">
        <f t="shared" si="4"/>
        <v>1.9279586441307808E-2</v>
      </c>
      <c r="O15" s="30">
        <f t="shared" si="5"/>
        <v>-2.8887212813204777E-3</v>
      </c>
    </row>
    <row r="16" spans="1:15" ht="19.05" customHeight="1" x14ac:dyDescent="0.3">
      <c r="A16" s="7">
        <v>11</v>
      </c>
      <c r="B16" s="10">
        <v>0.1</v>
      </c>
      <c r="C16" s="13">
        <v>5.5577578238239507E-2</v>
      </c>
      <c r="D16" s="13">
        <v>-3.8077578238239505E-2</v>
      </c>
      <c r="E16" s="16">
        <v>100596.50266265964</v>
      </c>
      <c r="F16" s="16">
        <v>101630.34802339655</v>
      </c>
      <c r="G16" s="30">
        <f t="shared" si="6"/>
        <v>-1.3215371198918144</v>
      </c>
      <c r="H16" s="30">
        <f t="shared" si="7"/>
        <v>0.55391931681914353</v>
      </c>
      <c r="I16" s="30">
        <f t="shared" si="0"/>
        <v>-1.2848890532513626</v>
      </c>
      <c r="J16" s="30">
        <f t="shared" si="1"/>
        <v>0.54379441873447609</v>
      </c>
      <c r="K16" s="31">
        <f t="shared" si="8"/>
        <v>9.999999999999995E-3</v>
      </c>
      <c r="L16" s="32">
        <f t="shared" si="2"/>
        <v>2.3416009115515765E-3</v>
      </c>
      <c r="M16" s="32">
        <f t="shared" si="3"/>
        <v>-8.6660091155158631E-4</v>
      </c>
      <c r="N16" s="30">
        <f t="shared" si="4"/>
        <v>1.8286834719858376E-2</v>
      </c>
      <c r="O16" s="30">
        <f t="shared" si="5"/>
        <v>-2.537444639364071E-3</v>
      </c>
    </row>
    <row r="17" spans="1:15" ht="19.05" customHeight="1" x14ac:dyDescent="0.3">
      <c r="A17" s="7">
        <v>12</v>
      </c>
      <c r="B17" s="10">
        <v>0.11</v>
      </c>
      <c r="C17" s="13">
        <v>5.7919179149791084E-2</v>
      </c>
      <c r="D17" s="13">
        <v>-3.8944179149791092E-2</v>
      </c>
      <c r="E17" s="16">
        <v>100636.90715613074</v>
      </c>
      <c r="F17" s="16">
        <v>101619.18532325821</v>
      </c>
      <c r="G17" s="30">
        <f t="shared" si="6"/>
        <v>-1.2482409866109105</v>
      </c>
      <c r="H17" s="30">
        <f t="shared" si="7"/>
        <v>0.53366952064980877</v>
      </c>
      <c r="I17" s="30">
        <f t="shared" si="0"/>
        <v>-1.2154625947065303</v>
      </c>
      <c r="J17" s="30">
        <f t="shared" si="1"/>
        <v>0.52440100225252784</v>
      </c>
      <c r="K17" s="31">
        <f t="shared" si="8"/>
        <v>9.999999999999995E-3</v>
      </c>
      <c r="L17" s="32">
        <f t="shared" si="2"/>
        <v>2.1623757646728817E-3</v>
      </c>
      <c r="M17" s="32">
        <f t="shared" si="3"/>
        <v>-7.3737576467287208E-4</v>
      </c>
      <c r="N17" s="30">
        <f t="shared" si="4"/>
        <v>1.7398635969590574E-2</v>
      </c>
      <c r="O17" s="30">
        <f t="shared" si="5"/>
        <v>-2.2416062676286399E-3</v>
      </c>
    </row>
    <row r="18" spans="1:15" ht="19.05" customHeight="1" x14ac:dyDescent="0.3">
      <c r="A18" s="7">
        <v>13</v>
      </c>
      <c r="B18" s="10">
        <v>0.12</v>
      </c>
      <c r="C18" s="13">
        <v>6.0081554914463965E-2</v>
      </c>
      <c r="D18" s="13">
        <v>-3.9681554914463964E-2</v>
      </c>
      <c r="E18" s="16">
        <v>100673.04533320531</v>
      </c>
      <c r="F18" s="16">
        <v>101608.9667817252</v>
      </c>
      <c r="G18" s="30">
        <f t="shared" si="6"/>
        <v>-1.18268420280215</v>
      </c>
      <c r="H18" s="30">
        <f t="shared" si="7"/>
        <v>0.51513248385524679</v>
      </c>
      <c r="I18" s="30">
        <f t="shared" si="0"/>
        <v>-1.1531174696523636</v>
      </c>
      <c r="J18" s="30">
        <f t="shared" si="1"/>
        <v>0.50659781403232695</v>
      </c>
      <c r="K18" s="31">
        <f t="shared" si="8"/>
        <v>1.0000000000000009E-2</v>
      </c>
      <c r="L18" s="32">
        <f t="shared" si="2"/>
        <v>1.9990222490515394E-3</v>
      </c>
      <c r="M18" s="32">
        <f t="shared" si="3"/>
        <v>-6.2402224905153819E-4</v>
      </c>
      <c r="N18" s="30">
        <f t="shared" si="4"/>
        <v>1.6597152836846922E-2</v>
      </c>
      <c r="O18" s="30">
        <f t="shared" si="5"/>
        <v>-1.9889791703280426E-3</v>
      </c>
    </row>
    <row r="19" spans="1:15" ht="19.05" customHeight="1" x14ac:dyDescent="0.3">
      <c r="A19" s="7">
        <v>14</v>
      </c>
      <c r="B19" s="10">
        <v>0.13</v>
      </c>
      <c r="C19" s="13">
        <v>6.2080577163515505E-2</v>
      </c>
      <c r="D19" s="13">
        <v>-4.0305577163515502E-2</v>
      </c>
      <c r="E19" s="16">
        <v>100705.64265650295</v>
      </c>
      <c r="F19" s="16">
        <v>101599.55730824544</v>
      </c>
      <c r="G19" s="30">
        <f t="shared" si="6"/>
        <v>-1.1235507365025774</v>
      </c>
      <c r="H19" s="30">
        <f t="shared" si="7"/>
        <v>0.49806314420940717</v>
      </c>
      <c r="I19" s="30">
        <f t="shared" si="0"/>
        <v>-1.0966837283703255</v>
      </c>
      <c r="J19" s="30">
        <f t="shared" si="1"/>
        <v>0.49016108176985895</v>
      </c>
      <c r="K19" s="31">
        <f t="shared" si="8"/>
        <v>1.0000000000000009E-2</v>
      </c>
      <c r="L19" s="32">
        <f t="shared" si="2"/>
        <v>1.8486836588754857E-3</v>
      </c>
      <c r="M19" s="32">
        <f t="shared" si="3"/>
        <v>-5.2368365887549284E-4</v>
      </c>
      <c r="N19" s="30">
        <f t="shared" si="4"/>
        <v>1.5868448101401859E-2</v>
      </c>
      <c r="O19" s="30">
        <f t="shared" si="5"/>
        <v>-1.7707319388532532E-3</v>
      </c>
    </row>
    <row r="20" spans="1:15" ht="19.05" customHeight="1" x14ac:dyDescent="0.3">
      <c r="A20" s="7">
        <v>15</v>
      </c>
      <c r="B20" s="10">
        <v>0.14000000000000001</v>
      </c>
      <c r="C20" s="13">
        <v>6.392926082239099E-2</v>
      </c>
      <c r="D20" s="13">
        <v>-4.0829260822390995E-2</v>
      </c>
      <c r="E20" s="16">
        <v>100735.26353296876</v>
      </c>
      <c r="F20" s="16">
        <v>101590.84528440583</v>
      </c>
      <c r="G20" s="30">
        <f t="shared" si="6"/>
        <v>-1.0698167202380737</v>
      </c>
      <c r="H20" s="30">
        <f t="shared" si="7"/>
        <v>0.48225901933031079</v>
      </c>
      <c r="I20" s="30">
        <f t="shared" si="0"/>
        <v>-1.0452459936197704</v>
      </c>
      <c r="J20" s="30">
        <f t="shared" si="1"/>
        <v>0.47490531533661928</v>
      </c>
      <c r="K20" s="31">
        <f t="shared" si="8"/>
        <v>9.9999999999999811E-3</v>
      </c>
      <c r="L20" s="32">
        <f t="shared" si="2"/>
        <v>1.7092035069479344E-3</v>
      </c>
      <c r="M20" s="32">
        <f t="shared" si="3"/>
        <v>-4.3420350694792914E-4</v>
      </c>
      <c r="N20" s="30">
        <f t="shared" si="4"/>
        <v>1.5201513089563868E-2</v>
      </c>
      <c r="O20" s="30">
        <f t="shared" si="5"/>
        <v>-1.5803325645308178E-3</v>
      </c>
    </row>
    <row r="21" spans="1:15" ht="19.05" customHeight="1" x14ac:dyDescent="0.3">
      <c r="A21" s="7">
        <v>16</v>
      </c>
      <c r="B21" s="10">
        <v>0.15</v>
      </c>
      <c r="C21" s="13">
        <v>6.5638464329338925E-2</v>
      </c>
      <c r="D21" s="13">
        <v>-4.1263464329338924E-2</v>
      </c>
      <c r="E21" s="16">
        <v>100762.35275906544</v>
      </c>
      <c r="F21" s="16">
        <v>101582.73782575279</v>
      </c>
      <c r="G21" s="30">
        <f t="shared" si="6"/>
        <v>-1.0206752670014672</v>
      </c>
      <c r="H21" s="30">
        <f t="shared" si="7"/>
        <v>0.46755161134292778</v>
      </c>
      <c r="I21" s="30">
        <f t="shared" si="0"/>
        <v>-0.99807839662309417</v>
      </c>
      <c r="J21" s="30">
        <f t="shared" si="1"/>
        <v>0.4606758319570835</v>
      </c>
      <c r="K21" s="31">
        <f t="shared" si="8"/>
        <v>1.0000000000000009E-2</v>
      </c>
      <c r="L21" s="32">
        <f t="shared" si="2"/>
        <v>1.578918173061078E-3</v>
      </c>
      <c r="M21" s="32">
        <f t="shared" si="3"/>
        <v>-3.5391817306108103E-4</v>
      </c>
      <c r="N21" s="30">
        <f t="shared" si="4"/>
        <v>1.458754228580179E-2</v>
      </c>
      <c r="O21" s="30">
        <f t="shared" si="5"/>
        <v>-1.4128425697482213E-3</v>
      </c>
    </row>
    <row r="22" spans="1:15" ht="19.05" customHeight="1" x14ac:dyDescent="0.3">
      <c r="A22" s="7">
        <v>17</v>
      </c>
      <c r="B22" s="10">
        <v>0.16</v>
      </c>
      <c r="C22" s="13">
        <v>6.7217382502400003E-2</v>
      </c>
      <c r="D22" s="13">
        <v>-4.1617382502400005E-2</v>
      </c>
      <c r="E22" s="16">
        <v>100787.2658086576</v>
      </c>
      <c r="F22" s="16">
        <v>101575.1572789799</v>
      </c>
      <c r="G22" s="30">
        <f t="shared" si="6"/>
        <v>-0.97548152624472106</v>
      </c>
      <c r="H22" s="30">
        <f t="shared" si="7"/>
        <v>0.45380005257123923</v>
      </c>
      <c r="I22" s="30">
        <f t="shared" si="0"/>
        <v>-0.95459731234833622</v>
      </c>
      <c r="J22" s="30">
        <f t="shared" si="1"/>
        <v>0.4473430752247633</v>
      </c>
      <c r="K22" s="31">
        <f t="shared" si="8"/>
        <v>1.0000000000000009E-2</v>
      </c>
      <c r="L22" s="32">
        <f t="shared" si="2"/>
        <v>1.4565199987529864E-3</v>
      </c>
      <c r="M22" s="32">
        <f t="shared" si="3"/>
        <v>-2.8151999875299094E-4</v>
      </c>
      <c r="N22" s="30">
        <f t="shared" si="4"/>
        <v>1.4019403875731008E-2</v>
      </c>
      <c r="O22" s="30">
        <f t="shared" si="5"/>
        <v>-1.2644540542117685E-3</v>
      </c>
    </row>
    <row r="23" spans="1:15" ht="19.05" customHeight="1" x14ac:dyDescent="0.3">
      <c r="A23" s="7">
        <v>18</v>
      </c>
      <c r="B23" s="10">
        <v>0.17</v>
      </c>
      <c r="C23" s="13">
        <v>6.8673902501152989E-2</v>
      </c>
      <c r="D23" s="13">
        <v>-4.1898902501152996E-2</v>
      </c>
      <c r="E23" s="16">
        <v>100810.29065447836</v>
      </c>
      <c r="F23" s="16">
        <v>101568.03846145541</v>
      </c>
      <c r="G23" s="30">
        <f t="shared" si="6"/>
        <v>-0.93371309845195127</v>
      </c>
      <c r="H23" s="30">
        <f t="shared" si="7"/>
        <v>0.44088609787828736</v>
      </c>
      <c r="I23" s="30">
        <f t="shared" si="0"/>
        <v>-0.91432726689910804</v>
      </c>
      <c r="J23" s="30">
        <f t="shared" si="1"/>
        <v>0.43479808665787728</v>
      </c>
      <c r="K23" s="31">
        <f t="shared" si="8"/>
        <v>9.9999999999999811E-3</v>
      </c>
      <c r="L23" s="32">
        <f t="shared" si="2"/>
        <v>1.3409641775899289E-3</v>
      </c>
      <c r="M23" s="32">
        <f t="shared" si="3"/>
        <v>-2.1596417758993486E-4</v>
      </c>
      <c r="N23" s="30">
        <f t="shared" si="4"/>
        <v>1.3491253535569828E-2</v>
      </c>
      <c r="O23" s="30">
        <f t="shared" si="5"/>
        <v>-1.1321793003026641E-3</v>
      </c>
    </row>
    <row r="24" spans="1:15" ht="19.05" customHeight="1" x14ac:dyDescent="0.3">
      <c r="A24" s="7">
        <v>19</v>
      </c>
      <c r="B24" s="10">
        <v>0.18</v>
      </c>
      <c r="C24" s="13">
        <v>7.0014866678742918E-2</v>
      </c>
      <c r="D24" s="13">
        <v>-4.2114866678742931E-2</v>
      </c>
      <c r="E24" s="16">
        <v>100831.66353376537</v>
      </c>
      <c r="F24" s="16">
        <v>101561.3264290849</v>
      </c>
      <c r="G24" s="30">
        <f t="shared" si="6"/>
        <v>-0.8949414353462648</v>
      </c>
      <c r="H24" s="30">
        <f t="shared" si="7"/>
        <v>0.4287100754374672</v>
      </c>
      <c r="I24" s="30">
        <f t="shared" si="0"/>
        <v>-0.87687619834282504</v>
      </c>
      <c r="J24" s="30">
        <f t="shared" si="1"/>
        <v>0.42294883197479693</v>
      </c>
      <c r="K24" s="31">
        <f t="shared" si="8"/>
        <v>1.0000000000000009E-2</v>
      </c>
      <c r="L24" s="32">
        <f t="shared" si="2"/>
        <v>1.2314037878906336E-3</v>
      </c>
      <c r="M24" s="32">
        <f t="shared" si="3"/>
        <v>-1.5640378789062021E-4</v>
      </c>
      <c r="N24" s="30">
        <f t="shared" si="4"/>
        <v>1.2998250303176232E-2</v>
      </c>
      <c r="O24" s="30">
        <f t="shared" si="5"/>
        <v>-1.0136378727457218E-3</v>
      </c>
    </row>
    <row r="25" spans="1:15" ht="19.05" customHeight="1" x14ac:dyDescent="0.3">
      <c r="A25" s="7">
        <v>20</v>
      </c>
      <c r="B25" s="10">
        <v>0.19</v>
      </c>
      <c r="C25" s="13">
        <v>7.1246270466633552E-2</v>
      </c>
      <c r="D25" s="13">
        <v>-4.2271270466633551E-2</v>
      </c>
      <c r="E25" s="16">
        <v>100851.58045756166</v>
      </c>
      <c r="F25" s="16">
        <v>101554.97465816731</v>
      </c>
      <c r="G25" s="30">
        <f t="shared" si="6"/>
        <v>-0.85881096133938517</v>
      </c>
      <c r="H25" s="30">
        <f t="shared" si="7"/>
        <v>0.41718758851212667</v>
      </c>
      <c r="I25" s="30">
        <f t="shared" si="0"/>
        <v>-0.84191729265928816</v>
      </c>
      <c r="J25" s="30">
        <f t="shared" si="1"/>
        <v>0.41171720829106501</v>
      </c>
      <c r="K25" s="31">
        <f t="shared" si="8"/>
        <v>1.0000000000000009E-2</v>
      </c>
      <c r="L25" s="32">
        <f t="shared" si="2"/>
        <v>1.12714343572895E-3</v>
      </c>
      <c r="M25" s="32">
        <f t="shared" si="3"/>
        <v>-1.021434357289519E-4</v>
      </c>
      <c r="N25" s="30">
        <f t="shared" si="4"/>
        <v>1.2536345009503543E-2</v>
      </c>
      <c r="O25" s="30">
        <f t="shared" si="5"/>
        <v>-9.0690733964402415E-4</v>
      </c>
    </row>
    <row r="26" spans="1:15" ht="19.05" customHeight="1" x14ac:dyDescent="0.3">
      <c r="A26" s="7">
        <v>21</v>
      </c>
      <c r="B26" s="10">
        <v>0.2</v>
      </c>
      <c r="C26" s="13">
        <v>7.2373413902362502E-2</v>
      </c>
      <c r="D26" s="13">
        <v>-4.2373413902362503E-2</v>
      </c>
      <c r="E26" s="16">
        <v>100870.20572728147</v>
      </c>
      <c r="F26" s="16">
        <v>101548.94356397359</v>
      </c>
      <c r="G26" s="30">
        <f t="shared" si="6"/>
        <v>-0.82502362397919116</v>
      </c>
      <c r="H26" s="30">
        <f t="shared" si="7"/>
        <v>0.40624682807000334</v>
      </c>
      <c r="I26" s="30">
        <f t="shared" si="0"/>
        <v>-0.80917545961659054</v>
      </c>
      <c r="J26" s="30">
        <f t="shared" si="1"/>
        <v>0.40103660709176597</v>
      </c>
      <c r="K26" s="31">
        <f t="shared" si="8"/>
        <v>9.9999999999999811E-3</v>
      </c>
      <c r="L26" s="32">
        <f t="shared" si="2"/>
        <v>1.0276055179808119E-3</v>
      </c>
      <c r="M26" s="32">
        <f t="shared" si="3"/>
        <v>-5.2605517980822136E-5</v>
      </c>
      <c r="N26" s="30">
        <f t="shared" si="4"/>
        <v>1.2102120667083542E-2</v>
      </c>
      <c r="O26" s="30">
        <f t="shared" si="5"/>
        <v>-8.1041642887133428E-4</v>
      </c>
    </row>
    <row r="27" spans="1:15" ht="19.05" customHeight="1" x14ac:dyDescent="0.3">
      <c r="A27" s="7">
        <v>22</v>
      </c>
      <c r="B27" s="10">
        <v>0.21</v>
      </c>
      <c r="C27" s="13">
        <v>7.3401019420343314E-2</v>
      </c>
      <c r="D27" s="13">
        <v>-4.2426019420343325E-2</v>
      </c>
      <c r="E27" s="16">
        <v>100887.67832849124</v>
      </c>
      <c r="F27" s="16">
        <v>101543.19929534508</v>
      </c>
      <c r="G27" s="30">
        <f t="shared" si="6"/>
        <v>-0.79332729525398993</v>
      </c>
      <c r="H27" s="30">
        <f t="shared" si="7"/>
        <v>0.39582638611352861</v>
      </c>
      <c r="I27" s="30">
        <f t="shared" si="0"/>
        <v>-0.77841711710105532</v>
      </c>
      <c r="J27" s="30">
        <f t="shared" si="1"/>
        <v>0.39084993214543134</v>
      </c>
      <c r="K27" s="31">
        <f t="shared" si="8"/>
        <v>1.0000000000000009E-2</v>
      </c>
      <c r="L27" s="32">
        <f t="shared" si="2"/>
        <v>9.3230523555125344E-4</v>
      </c>
      <c r="M27" s="32">
        <f t="shared" si="3"/>
        <v>-7.3052355512512324E-6</v>
      </c>
      <c r="N27" s="30">
        <f t="shared" si="4"/>
        <v>1.1692670492464878E-2</v>
      </c>
      <c r="O27" s="30">
        <f t="shared" si="5"/>
        <v>-7.2286710289651409E-4</v>
      </c>
    </row>
    <row r="28" spans="1:15" ht="19.05" customHeight="1" x14ac:dyDescent="0.3">
      <c r="A28" s="7">
        <v>23</v>
      </c>
      <c r="B28" s="10">
        <v>0.22</v>
      </c>
      <c r="C28" s="13">
        <v>7.4333324655894567E-2</v>
      </c>
      <c r="D28" s="13">
        <v>-4.2433324655894576E-2</v>
      </c>
      <c r="E28" s="16">
        <v>100904.11679990485</v>
      </c>
      <c r="F28" s="16">
        <v>101537.71275484526</v>
      </c>
      <c r="G28" s="30">
        <f t="shared" si="6"/>
        <v>-0.76350693894812072</v>
      </c>
      <c r="H28" s="30">
        <f t="shared" si="7"/>
        <v>0.38587347817733408</v>
      </c>
      <c r="I28" s="30">
        <f t="shared" si="0"/>
        <v>-0.74944236595572988</v>
      </c>
      <c r="J28" s="30">
        <f t="shared" si="1"/>
        <v>0.38110798823696301</v>
      </c>
      <c r="K28" s="31">
        <f t="shared" si="8"/>
        <v>1.0000000000000009E-2</v>
      </c>
      <c r="L28" s="32">
        <f t="shared" si="2"/>
        <v>8.4083179479821357E-4</v>
      </c>
      <c r="M28" s="32">
        <f t="shared" si="3"/>
        <v>3.4168205201787205E-5</v>
      </c>
      <c r="N28" s="30">
        <f t="shared" si="4"/>
        <v>1.1305503541926939E-2</v>
      </c>
      <c r="O28" s="30">
        <f t="shared" si="5"/>
        <v>-6.4317674561049682E-4</v>
      </c>
    </row>
    <row r="29" spans="1:15" ht="19.05" customHeight="1" x14ac:dyDescent="0.3">
      <c r="A29" s="7">
        <v>24</v>
      </c>
      <c r="B29" s="10">
        <v>0.23</v>
      </c>
      <c r="C29" s="13">
        <v>7.5174156450692781E-2</v>
      </c>
      <c r="D29" s="13">
        <v>-4.2399156450692789E-2</v>
      </c>
      <c r="E29" s="16">
        <v>100919.62299162896</v>
      </c>
      <c r="F29" s="16">
        <v>101532.458802186</v>
      </c>
      <c r="G29" s="30">
        <f t="shared" si="6"/>
        <v>-0.73537779296333894</v>
      </c>
      <c r="H29" s="30">
        <f t="shared" si="7"/>
        <v>0.37634249829659194</v>
      </c>
      <c r="I29" s="30">
        <f t="shared" si="0"/>
        <v>-0.72207891677021596</v>
      </c>
      <c r="J29" s="30">
        <f t="shared" si="1"/>
        <v>0.37176817053818889</v>
      </c>
      <c r="K29" s="31">
        <f t="shared" si="8"/>
        <v>9.9999999999999811E-3</v>
      </c>
      <c r="L29" s="32">
        <f t="shared" si="2"/>
        <v>7.5283406358628291E-4</v>
      </c>
      <c r="M29" s="32">
        <f t="shared" si="3"/>
        <v>7.2165936413730314E-5</v>
      </c>
      <c r="N29" s="30">
        <f t="shared" si="4"/>
        <v>1.0938470873084027E-2</v>
      </c>
      <c r="O29" s="30">
        <f t="shared" si="5"/>
        <v>-5.7043460329781089E-4</v>
      </c>
    </row>
    <row r="30" spans="1:15" ht="19.05" customHeight="1" x14ac:dyDescent="0.3">
      <c r="A30" s="7">
        <v>25</v>
      </c>
      <c r="B30" s="10">
        <v>0.24</v>
      </c>
      <c r="C30" s="13">
        <v>7.5926990514279064E-2</v>
      </c>
      <c r="D30" s="13">
        <v>-4.2326990514279059E-2</v>
      </c>
      <c r="E30" s="16">
        <v>100934.28500263188</v>
      </c>
      <c r="F30" s="16">
        <v>101527.41560583236</v>
      </c>
      <c r="G30" s="30">
        <f t="shared" si="6"/>
        <v>-0.7087800405770931</v>
      </c>
      <c r="H30" s="30">
        <f t="shared" si="7"/>
        <v>0.3671938427797859</v>
      </c>
      <c r="I30" s="30">
        <f t="shared" si="0"/>
        <v>-0.6961773189248136</v>
      </c>
      <c r="J30" s="30">
        <f t="shared" si="1"/>
        <v>0.36279339668174149</v>
      </c>
      <c r="K30" s="31">
        <f t="shared" si="8"/>
        <v>1.0000000000000009E-2</v>
      </c>
      <c r="L30" s="32">
        <f t="shared" si="2"/>
        <v>6.6800948572093288E-4</v>
      </c>
      <c r="M30" s="32">
        <f t="shared" si="3"/>
        <v>1.0699051427905115E-4</v>
      </c>
      <c r="N30" s="30">
        <f t="shared" si="4"/>
        <v>1.058970715606556E-2</v>
      </c>
      <c r="O30" s="30">
        <f t="shared" si="5"/>
        <v>-5.038685048735659E-4</v>
      </c>
    </row>
    <row r="31" spans="1:15" ht="19.05" customHeight="1" x14ac:dyDescent="0.3">
      <c r="A31" s="7">
        <v>26</v>
      </c>
      <c r="B31" s="10">
        <v>0.25</v>
      </c>
      <c r="C31" s="13">
        <v>7.6594999999999996E-2</v>
      </c>
      <c r="D31" s="13">
        <v>-4.2220000000000008E-2</v>
      </c>
      <c r="E31" s="16">
        <v>100948.17950325352</v>
      </c>
      <c r="F31" s="16">
        <v>101522.56411400926</v>
      </c>
      <c r="G31" s="30">
        <f t="shared" si="6"/>
        <v>-0.68357459727253411</v>
      </c>
      <c r="H31" s="30">
        <f t="shared" si="7"/>
        <v>0.35839295058369702</v>
      </c>
      <c r="I31" s="30">
        <f t="shared" si="0"/>
        <v>-0.67160717084020005</v>
      </c>
      <c r="J31" s="30">
        <f t="shared" si="1"/>
        <v>0.35415123426472894</v>
      </c>
      <c r="K31" s="31">
        <f t="shared" si="8"/>
        <v>1.0000000000000009E-2</v>
      </c>
      <c r="L31" s="32">
        <f t="shared" si="2"/>
        <v>5.8609541354186223E-4</v>
      </c>
      <c r="M31" s="32">
        <f t="shared" si="3"/>
        <v>1.3890458645815507E-4</v>
      </c>
      <c r="N31" s="30">
        <f t="shared" si="4"/>
        <v>1.0257584051049299E-2</v>
      </c>
      <c r="O31" s="30">
        <f t="shared" si="5"/>
        <v>-4.4281911327045454E-4</v>
      </c>
    </row>
    <row r="32" spans="1:15" ht="19.05" customHeight="1" x14ac:dyDescent="0.3">
      <c r="A32" s="7">
        <v>27</v>
      </c>
      <c r="B32" s="10">
        <v>0.26</v>
      </c>
      <c r="C32" s="13">
        <v>7.7181095413541859E-2</v>
      </c>
      <c r="D32" s="13">
        <v>-4.2081095413541852E-2</v>
      </c>
      <c r="E32" s="16">
        <v>100961.37359089516</v>
      </c>
      <c r="F32" s="16">
        <v>101517.8876217676</v>
      </c>
      <c r="G32" s="30">
        <f t="shared" si="6"/>
        <v>-0.65963974440786588</v>
      </c>
      <c r="H32" s="30">
        <f t="shared" si="7"/>
        <v>0.34990951794576081</v>
      </c>
      <c r="I32" s="30">
        <f t="shared" si="0"/>
        <v>-0.64825407900833509</v>
      </c>
      <c r="J32" s="30">
        <f t="shared" si="1"/>
        <v>0.34581318557482316</v>
      </c>
      <c r="K32" s="31">
        <f t="shared" si="8"/>
        <v>1.0000000000000009E-2</v>
      </c>
      <c r="L32" s="32">
        <f t="shared" si="2"/>
        <v>5.0686225895409109E-4</v>
      </c>
      <c r="M32" s="32">
        <f t="shared" si="3"/>
        <v>1.6813774104590395E-4</v>
      </c>
      <c r="N32" s="30">
        <f t="shared" si="4"/>
        <v>9.9406726458315924E-3</v>
      </c>
      <c r="O32" s="30">
        <f t="shared" si="5"/>
        <v>-3.867197747088073E-4</v>
      </c>
    </row>
    <row r="33" spans="1:15" ht="19.05" customHeight="1" x14ac:dyDescent="0.3">
      <c r="A33" s="7">
        <v>28</v>
      </c>
      <c r="B33" s="10">
        <v>0.27</v>
      </c>
      <c r="C33" s="13">
        <v>7.768795767249595E-2</v>
      </c>
      <c r="D33" s="13">
        <v>-4.1912957672495949E-2</v>
      </c>
      <c r="E33" s="16">
        <v>100973.92628699815</v>
      </c>
      <c r="F33" s="16">
        <v>101513.37141532864</v>
      </c>
      <c r="G33" s="30">
        <f t="shared" si="6"/>
        <v>-0.6368684136088042</v>
      </c>
      <c r="H33" s="30">
        <f t="shared" si="7"/>
        <v>0.34171685320388551</v>
      </c>
      <c r="I33" s="30">
        <f t="shared" si="0"/>
        <v>-0.62601719522777977</v>
      </c>
      <c r="J33" s="30">
        <f t="shared" si="1"/>
        <v>0.3377540988705196</v>
      </c>
      <c r="K33" s="31">
        <f t="shared" si="8"/>
        <v>1.0000000000000009E-2</v>
      </c>
      <c r="L33" s="32">
        <f t="shared" si="2"/>
        <v>4.3010802851327357E-4</v>
      </c>
      <c r="M33" s="32">
        <f t="shared" si="3"/>
        <v>1.9489197148671311E-4</v>
      </c>
      <c r="N33" s="30">
        <f t="shared" si="4"/>
        <v>9.637712940983003E-3</v>
      </c>
      <c r="O33" s="30">
        <f t="shared" si="5"/>
        <v>-3.3508058386142326E-4</v>
      </c>
    </row>
    <row r="34" spans="1:15" ht="19.05" customHeight="1" x14ac:dyDescent="0.3">
      <c r="A34" s="7">
        <v>29</v>
      </c>
      <c r="B34" s="10">
        <v>0.28000000000000003</v>
      </c>
      <c r="C34" s="13">
        <v>7.8118065701009223E-2</v>
      </c>
      <c r="D34" s="13">
        <v>-4.1718065701009235E-2</v>
      </c>
      <c r="E34" s="16">
        <v>100985.88975526323</v>
      </c>
      <c r="F34" s="16">
        <v>101509.00247867611</v>
      </c>
      <c r="G34" s="30">
        <f t="shared" si="6"/>
        <v>-0.61516597684675534</v>
      </c>
      <c r="H34" s="30">
        <f t="shared" si="7"/>
        <v>0.3337913445371537</v>
      </c>
      <c r="I34" s="30">
        <f t="shared" si="0"/>
        <v>-0.60480720521389852</v>
      </c>
      <c r="J34" s="30">
        <f t="shared" si="1"/>
        <v>0.32995168170547207</v>
      </c>
      <c r="K34" s="31">
        <f t="shared" si="8"/>
        <v>9.9999999999999534E-3</v>
      </c>
      <c r="L34" s="32">
        <f t="shared" si="2"/>
        <v>3.5565392368482052E-4</v>
      </c>
      <c r="M34" s="32">
        <f t="shared" si="3"/>
        <v>2.1934607631517167E-4</v>
      </c>
      <c r="N34" s="30">
        <f t="shared" si="4"/>
        <v>9.3475888691936619E-3</v>
      </c>
      <c r="O34" s="30">
        <f t="shared" si="5"/>
        <v>-2.8747566236286115E-4</v>
      </c>
    </row>
    <row r="35" spans="1:15" ht="19.05" customHeight="1" x14ac:dyDescent="0.3">
      <c r="A35" s="7">
        <v>30</v>
      </c>
      <c r="B35" s="10">
        <v>0.28999999999999998</v>
      </c>
      <c r="C35" s="13">
        <v>7.8473719624694044E-2</v>
      </c>
      <c r="D35" s="13">
        <v>-4.1498719624694064E-2</v>
      </c>
      <c r="E35" s="16">
        <v>100997.31030098845</v>
      </c>
      <c r="F35" s="16">
        <v>101504.76925040418</v>
      </c>
      <c r="G35" s="30">
        <f t="shared" si="6"/>
        <v>-0.59444843358104171</v>
      </c>
      <c r="H35" s="30">
        <f t="shared" si="7"/>
        <v>0.32611201887379049</v>
      </c>
      <c r="I35" s="30">
        <f t="shared" si="0"/>
        <v>-0.58454467311872138</v>
      </c>
      <c r="J35" s="30">
        <f t="shared" si="1"/>
        <v>0.3223860967525386</v>
      </c>
      <c r="K35" s="31">
        <f t="shared" si="8"/>
        <v>1.0000000000000009E-2</v>
      </c>
      <c r="L35" s="32">
        <f t="shared" si="2"/>
        <v>2.8334076927623297E-4</v>
      </c>
      <c r="M35" s="32">
        <f t="shared" si="3"/>
        <v>2.416592307237786E-4</v>
      </c>
      <c r="N35" s="30">
        <f t="shared" si="4"/>
        <v>9.0693076987126073E-3</v>
      </c>
      <c r="O35" s="30">
        <f t="shared" si="5"/>
        <v>-2.4353291349504279E-4</v>
      </c>
    </row>
    <row r="36" spans="1:15" ht="19.05" customHeight="1" x14ac:dyDescent="0.3">
      <c r="A36" s="7">
        <v>31</v>
      </c>
      <c r="B36" s="10">
        <v>0.3</v>
      </c>
      <c r="C36" s="13">
        <v>7.8757060393970277E-2</v>
      </c>
      <c r="D36" s="13">
        <v>-4.1257060393970285E-2</v>
      </c>
      <c r="E36" s="16">
        <v>101008.22919689816</v>
      </c>
      <c r="F36" s="16">
        <v>101500.6614212655</v>
      </c>
      <c r="G36" s="30">
        <f t="shared" si="6"/>
        <v>-0.57464091265640094</v>
      </c>
      <c r="H36" s="30">
        <f t="shared" si="7"/>
        <v>0.31866017463128665</v>
      </c>
      <c r="I36" s="30">
        <f t="shared" si="0"/>
        <v>-0.56515866927722047</v>
      </c>
      <c r="J36" s="30">
        <f t="shared" si="1"/>
        <v>0.31503962455016443</v>
      </c>
      <c r="K36" s="31">
        <f t="shared" si="8"/>
        <v>1.0000000000000009E-2</v>
      </c>
      <c r="L36" s="32">
        <f t="shared" si="2"/>
        <v>2.1302609188374177E-4</v>
      </c>
      <c r="M36" s="32">
        <f t="shared" si="3"/>
        <v>2.6197390811626142E-4</v>
      </c>
      <c r="N36" s="30">
        <f t="shared" si="4"/>
        <v>8.801982938273856E-3</v>
      </c>
      <c r="O36" s="30">
        <f t="shared" si="5"/>
        <v>-2.0292570426522867E-4</v>
      </c>
    </row>
    <row r="37" spans="1:15" ht="19.05" customHeight="1" x14ac:dyDescent="0.3">
      <c r="A37" s="7">
        <v>32</v>
      </c>
      <c r="B37" s="10">
        <v>0.31</v>
      </c>
      <c r="C37" s="13">
        <v>7.8970086485854019E-2</v>
      </c>
      <c r="D37" s="13">
        <v>-4.0995086485854024E-2</v>
      </c>
      <c r="E37" s="16">
        <v>101018.68337022371</v>
      </c>
      <c r="F37" s="16">
        <v>101496.66976480106</v>
      </c>
      <c r="G37" s="30">
        <f t="shared" si="6"/>
        <v>-0.55567642589804001</v>
      </c>
      <c r="H37" s="30">
        <f t="shared" si="7"/>
        <v>0.31141907446904216</v>
      </c>
      <c r="I37" s="30">
        <f t="shared" si="0"/>
        <v>-0.54658562525206134</v>
      </c>
      <c r="J37" s="30">
        <f t="shared" si="1"/>
        <v>0.30789638074479742</v>
      </c>
      <c r="K37" s="31">
        <f t="shared" si="8"/>
        <v>1.0000000000000009E-2</v>
      </c>
      <c r="L37" s="32">
        <f t="shared" si="2"/>
        <v>1.4458171300323064E-4</v>
      </c>
      <c r="M37" s="32">
        <f t="shared" si="3"/>
        <v>2.8041828699676419E-4</v>
      </c>
      <c r="N37" s="30">
        <f t="shared" si="4"/>
        <v>8.5448200599685959E-3</v>
      </c>
      <c r="O37" s="30">
        <f t="shared" si="5"/>
        <v>-1.653660616628445E-4</v>
      </c>
    </row>
    <row r="38" spans="1:15" ht="19.05" customHeight="1" x14ac:dyDescent="0.3">
      <c r="A38" s="7">
        <v>33</v>
      </c>
      <c r="B38" s="10">
        <v>0.32</v>
      </c>
      <c r="C38" s="13">
        <v>7.9114668198857249E-2</v>
      </c>
      <c r="D38" s="13">
        <v>-4.071466819885726E-2</v>
      </c>
      <c r="E38" s="16">
        <v>101028.7059779359</v>
      </c>
      <c r="F38" s="16">
        <v>101492.78599497008</v>
      </c>
      <c r="G38" s="30">
        <f t="shared" si="6"/>
        <v>-0.53749482460608267</v>
      </c>
      <c r="H38" s="30">
        <f t="shared" si="7"/>
        <v>0.30437368702055262</v>
      </c>
      <c r="I38" s="30">
        <f t="shared" si="0"/>
        <v>-0.52876837271840638</v>
      </c>
      <c r="J38" s="30">
        <f t="shared" si="1"/>
        <v>0.30094207789768179</v>
      </c>
      <c r="K38" s="31">
        <f t="shared" si="8"/>
        <v>1.0000000000000009E-2</v>
      </c>
      <c r="L38" s="32">
        <f t="shared" si="2"/>
        <v>7.7891752971195882E-5</v>
      </c>
      <c r="M38" s="32">
        <f t="shared" si="3"/>
        <v>2.9710824702881833E-4</v>
      </c>
      <c r="N38" s="30">
        <f t="shared" si="4"/>
        <v>8.2971045061608888E-3</v>
      </c>
      <c r="O38" s="30">
        <f t="shared" si="5"/>
        <v>-1.3059906868815368E-4</v>
      </c>
    </row>
    <row r="39" spans="1:15" ht="19.05" customHeight="1" x14ac:dyDescent="0.3">
      <c r="A39" s="7">
        <v>34</v>
      </c>
      <c r="B39" s="10">
        <v>0.33</v>
      </c>
      <c r="C39" s="13">
        <v>7.9192559951828445E-2</v>
      </c>
      <c r="D39" s="13">
        <v>-4.0417559951828441E-2</v>
      </c>
      <c r="E39" s="16">
        <v>101038.32689114206</v>
      </c>
      <c r="F39" s="16">
        <v>101489.00264591211</v>
      </c>
      <c r="G39" s="30">
        <f t="shared" si="6"/>
        <v>-0.52004192083073009</v>
      </c>
      <c r="H39" s="30">
        <f t="shared" si="7"/>
        <v>0.29751046877481097</v>
      </c>
      <c r="I39" s="30">
        <f t="shared" si="0"/>
        <v>-0.51165533211172498</v>
      </c>
      <c r="J39" s="30">
        <f t="shared" si="1"/>
        <v>0.29416382389604812</v>
      </c>
      <c r="K39" s="31">
        <f t="shared" si="8"/>
        <v>1.0000000000000009E-2</v>
      </c>
      <c r="L39" s="32">
        <f t="shared" si="2"/>
        <v>1.2850965345742593E-5</v>
      </c>
      <c r="M39" s="32">
        <f t="shared" si="3"/>
        <v>3.1214903465424937E-4</v>
      </c>
      <c r="N39" s="30">
        <f t="shared" si="4"/>
        <v>8.0581915600777387E-3</v>
      </c>
      <c r="O39" s="30">
        <f t="shared" si="5"/>
        <v>-9.8398218601286231E-5</v>
      </c>
    </row>
    <row r="40" spans="1:15" ht="19.05" customHeight="1" x14ac:dyDescent="0.3">
      <c r="A40" s="7">
        <v>35</v>
      </c>
      <c r="B40" s="10">
        <v>0.34</v>
      </c>
      <c r="C40" s="13">
        <v>7.9205410917174188E-2</v>
      </c>
      <c r="D40" s="13">
        <v>-4.0105410917174192E-2</v>
      </c>
      <c r="E40" s="16">
        <v>101047.57310520476</v>
      </c>
      <c r="F40" s="16">
        <v>101485.31296993328</v>
      </c>
      <c r="G40" s="30">
        <f t="shared" si="6"/>
        <v>-0.50326874339271999</v>
      </c>
      <c r="H40" s="30">
        <f t="shared" si="7"/>
        <v>0.29081717901728527</v>
      </c>
      <c r="I40" s="30">
        <f t="shared" si="0"/>
        <v>-0.49519982409384733</v>
      </c>
      <c r="J40" s="30">
        <f t="shared" si="1"/>
        <v>0.28754995056782273</v>
      </c>
      <c r="K40" s="31">
        <f t="shared" si="8"/>
        <v>9.9999999999999534E-3</v>
      </c>
      <c r="L40" s="32">
        <f t="shared" si="2"/>
        <v>-5.0636661037647968E-5</v>
      </c>
      <c r="M40" s="32">
        <f t="shared" si="3"/>
        <v>3.2563666103764544E-4</v>
      </c>
      <c r="N40" s="30">
        <f t="shared" si="4"/>
        <v>7.8274977466166636E-3</v>
      </c>
      <c r="O40" s="30">
        <f t="shared" si="5"/>
        <v>-6.8561540145902747E-5</v>
      </c>
    </row>
    <row r="41" spans="1:15" ht="19.05" customHeight="1" x14ac:dyDescent="0.3">
      <c r="A41" s="7">
        <v>36</v>
      </c>
      <c r="B41" s="10">
        <v>0.35</v>
      </c>
      <c r="C41" s="13">
        <v>7.915477425613654E-2</v>
      </c>
      <c r="D41" s="13">
        <v>-3.9779774256136546E-2</v>
      </c>
      <c r="E41" s="16">
        <v>101056.46908873177</v>
      </c>
      <c r="F41" s="16">
        <v>101481.71085056775</v>
      </c>
      <c r="G41" s="30">
        <f t="shared" si="6"/>
        <v>-0.48713090479497473</v>
      </c>
      <c r="H41" s="30">
        <f t="shared" si="7"/>
        <v>0.28428272211836025</v>
      </c>
      <c r="I41" s="30">
        <f t="shared" si="0"/>
        <v>-0.47935948236602571</v>
      </c>
      <c r="J41" s="30">
        <f t="shared" si="1"/>
        <v>0.28108986733291752</v>
      </c>
      <c r="K41" s="31">
        <f t="shared" si="8"/>
        <v>1.0000000000000009E-2</v>
      </c>
      <c r="L41" s="32">
        <f t="shared" si="2"/>
        <v>-1.1265908173653527E-4</v>
      </c>
      <c r="M41" s="32">
        <f t="shared" si="3"/>
        <v>3.3765908173653825E-4</v>
      </c>
      <c r="N41" s="30">
        <f t="shared" si="4"/>
        <v>7.6044934969894395E-3</v>
      </c>
      <c r="O41" s="30">
        <f t="shared" si="5"/>
        <v>-4.0908347384020958E-5</v>
      </c>
    </row>
    <row r="42" spans="1:15" ht="19.05" customHeight="1" x14ac:dyDescent="0.3">
      <c r="A42" s="7">
        <v>37</v>
      </c>
      <c r="B42" s="10">
        <v>0.36</v>
      </c>
      <c r="C42" s="13">
        <v>7.9042115174400004E-2</v>
      </c>
      <c r="D42" s="13">
        <v>-3.9442115174400008E-2</v>
      </c>
      <c r="E42" s="16">
        <v>101065.03708195969</v>
      </c>
      <c r="F42" s="16">
        <v>101478.1907281668</v>
      </c>
      <c r="G42" s="30">
        <f t="shared" si="6"/>
        <v>-0.4715880599370767</v>
      </c>
      <c r="H42" s="30">
        <f t="shared" si="7"/>
        <v>0.27789701254747473</v>
      </c>
      <c r="I42" s="30">
        <f t="shared" si="0"/>
        <v>-0.46409575059565678</v>
      </c>
      <c r="J42" s="30">
        <f t="shared" si="1"/>
        <v>0.27477393570306441</v>
      </c>
      <c r="K42" s="31">
        <f t="shared" si="8"/>
        <v>1.0000000000000009E-2</v>
      </c>
      <c r="L42" s="32">
        <f t="shared" si="2"/>
        <v>-1.7329719726753845E-4</v>
      </c>
      <c r="M42" s="32">
        <f t="shared" si="3"/>
        <v>3.4829719726753305E-4</v>
      </c>
      <c r="N42" s="30">
        <f t="shared" si="4"/>
        <v>7.3886968629872183E-3</v>
      </c>
      <c r="O42" s="30">
        <f t="shared" si="5"/>
        <v>-1.5276498845544808E-5</v>
      </c>
    </row>
    <row r="43" spans="1:15" ht="19.05" customHeight="1" x14ac:dyDescent="0.3">
      <c r="A43" s="7">
        <v>38</v>
      </c>
      <c r="B43" s="10">
        <v>0.37</v>
      </c>
      <c r="C43" s="13">
        <v>7.8868817977132466E-2</v>
      </c>
      <c r="D43" s="13">
        <v>-3.9093817977132475E-2</v>
      </c>
      <c r="E43" s="16">
        <v>101073.2973530086</v>
      </c>
      <c r="F43" s="16">
        <v>101474.74753594583</v>
      </c>
      <c r="G43" s="30">
        <f t="shared" si="6"/>
        <v>-0.45660344125423685</v>
      </c>
      <c r="H43" s="30">
        <f t="shared" si="7"/>
        <v>0.27165085885865409</v>
      </c>
      <c r="I43" s="30">
        <f t="shared" si="0"/>
        <v>-0.44937344953242758</v>
      </c>
      <c r="J43" s="30">
        <f t="shared" si="1"/>
        <v>0.26859336122143179</v>
      </c>
      <c r="K43" s="31">
        <f t="shared" si="8"/>
        <v>1.0000000000000009E-2</v>
      </c>
      <c r="L43" s="32">
        <f t="shared" si="2"/>
        <v>-2.3262570584312026E-4</v>
      </c>
      <c r="M43" s="32">
        <f t="shared" si="3"/>
        <v>3.5762570584314118E-4</v>
      </c>
      <c r="N43" s="30">
        <f t="shared" si="4"/>
        <v>7.1796681075385997E-3</v>
      </c>
      <c r="O43" s="30">
        <f t="shared" si="5"/>
        <v>8.4799254930424168E-6</v>
      </c>
    </row>
    <row r="44" spans="1:15" ht="19.05" customHeight="1" x14ac:dyDescent="0.3">
      <c r="A44" s="7">
        <v>39</v>
      </c>
      <c r="B44" s="10">
        <v>0.38</v>
      </c>
      <c r="C44" s="13">
        <v>7.8636192271289346E-2</v>
      </c>
      <c r="D44" s="13">
        <v>-3.8736192271289334E-2</v>
      </c>
      <c r="E44" s="16">
        <v>101081.2684188819</v>
      </c>
      <c r="F44" s="16">
        <v>101471.3766448008</v>
      </c>
      <c r="G44" s="30">
        <f t="shared" si="6"/>
        <v>-0.44214345781061831</v>
      </c>
      <c r="H44" s="30">
        <f t="shared" si="7"/>
        <v>0.2655358635842095</v>
      </c>
      <c r="I44" s="30">
        <f t="shared" si="0"/>
        <v>-0.43516040299256181</v>
      </c>
      <c r="J44" s="30">
        <f t="shared" si="1"/>
        <v>0.26254010005479744</v>
      </c>
      <c r="K44" s="31">
        <f t="shared" si="8"/>
        <v>1.0000000000000009E-2</v>
      </c>
      <c r="L44" s="32">
        <f t="shared" si="2"/>
        <v>-2.9071383342027524E-4</v>
      </c>
      <c r="M44" s="32">
        <f t="shared" si="3"/>
        <v>3.6571383342027391E-4</v>
      </c>
      <c r="N44" s="30">
        <f t="shared" si="4"/>
        <v>6.977005030473599E-3</v>
      </c>
      <c r="O44" s="30">
        <f t="shared" si="5"/>
        <v>3.0492602489097219E-5</v>
      </c>
    </row>
    <row r="45" spans="1:15" ht="19.05" customHeight="1" x14ac:dyDescent="0.3">
      <c r="A45" s="7">
        <v>40</v>
      </c>
      <c r="B45" s="10">
        <v>0.39</v>
      </c>
      <c r="C45" s="13">
        <v>7.8345478437869071E-2</v>
      </c>
      <c r="D45" s="13">
        <v>-3.837047843786906E-2</v>
      </c>
      <c r="E45" s="16">
        <v>101088.9672368188</v>
      </c>
      <c r="F45" s="16">
        <v>101468.07381550962</v>
      </c>
      <c r="G45" s="30">
        <f t="shared" si="6"/>
        <v>-0.42817734817450531</v>
      </c>
      <c r="H45" s="30">
        <f t="shared" si="7"/>
        <v>0.25954433652538544</v>
      </c>
      <c r="I45" s="30">
        <f t="shared" si="0"/>
        <v>-0.42142711345222778</v>
      </c>
      <c r="J45" s="30">
        <f t="shared" si="1"/>
        <v>0.25660677794934633</v>
      </c>
      <c r="K45" s="31">
        <f t="shared" si="8"/>
        <v>1.0000000000000009E-2</v>
      </c>
      <c r="L45" s="32">
        <f t="shared" si="2"/>
        <v>-3.4762596139005508E-4</v>
      </c>
      <c r="M45" s="32">
        <f t="shared" si="3"/>
        <v>3.7262596139003845E-4</v>
      </c>
      <c r="N45" s="30">
        <f t="shared" si="4"/>
        <v>6.7803389140157471E-3</v>
      </c>
      <c r="O45" s="30">
        <f t="shared" si="5"/>
        <v>5.0880658137091199E-5</v>
      </c>
    </row>
    <row r="46" spans="1:15" ht="19.05" customHeight="1" x14ac:dyDescent="0.3">
      <c r="A46" s="7">
        <v>41</v>
      </c>
      <c r="B46" s="10">
        <v>0.4</v>
      </c>
      <c r="C46" s="13">
        <v>7.7997852476479015E-2</v>
      </c>
      <c r="D46" s="13">
        <v>-3.7997852476479022E-2</v>
      </c>
      <c r="E46" s="16">
        <v>101096.40937060011</v>
      </c>
      <c r="F46" s="16">
        <v>101464.83515717954</v>
      </c>
      <c r="G46" s="30">
        <f t="shared" si="6"/>
        <v>-0.41467687872995024</v>
      </c>
      <c r="H46" s="30">
        <f t="shared" si="7"/>
        <v>0.25366921937330722</v>
      </c>
      <c r="I46" s="30">
        <f t="shared" si="0"/>
        <v>-0.40814647963646716</v>
      </c>
      <c r="J46" s="30">
        <f t="shared" si="1"/>
        <v>0.25078661966232885</v>
      </c>
      <c r="K46" s="31">
        <f t="shared" si="8"/>
        <v>9.9999999999999534E-3</v>
      </c>
      <c r="L46" s="32">
        <f t="shared" si="2"/>
        <v>-3.9647772400580594E-4</v>
      </c>
      <c r="M46" s="32">
        <f t="shared" si="3"/>
        <v>3.8536661289471918E-4</v>
      </c>
      <c r="N46" s="30">
        <f t="shared" si="4"/>
        <v>6.5893309929879297E-3</v>
      </c>
      <c r="O46" s="30">
        <f t="shared" si="5"/>
        <v>6.5176197128660686E-5</v>
      </c>
    </row>
    <row r="47" spans="1:15" ht="19.05" customHeight="1" x14ac:dyDescent="0.3">
      <c r="A47" s="7">
        <v>42</v>
      </c>
      <c r="B47" s="10">
        <v>0.41</v>
      </c>
      <c r="C47" s="13">
        <v>7.7601374752473209E-2</v>
      </c>
      <c r="D47" s="13">
        <v>-3.7612485863584302E-2</v>
      </c>
      <c r="E47" s="16">
        <v>101103.60913560068</v>
      </c>
      <c r="F47" s="16">
        <v>101461.65709099818</v>
      </c>
      <c r="G47" s="30">
        <f t="shared" si="6"/>
        <v>-0.40161608054298409</v>
      </c>
      <c r="H47" s="30">
        <f t="shared" si="7"/>
        <v>0.2479040199513505</v>
      </c>
      <c r="I47" s="30">
        <f t="shared" si="0"/>
        <v>-0.39529354981027431</v>
      </c>
      <c r="J47" s="30">
        <f t="shared" si="1"/>
        <v>0.24507338730540484</v>
      </c>
      <c r="K47" s="31">
        <f t="shared" si="8"/>
        <v>1.0000000000000009E-2</v>
      </c>
      <c r="L47" s="32">
        <f t="shared" si="2"/>
        <v>-4.3732536685782419E-4</v>
      </c>
      <c r="M47" s="32">
        <f t="shared" si="3"/>
        <v>4.0399203352447371E-4</v>
      </c>
      <c r="N47" s="30">
        <f t="shared" si="4"/>
        <v>6.403669371156797E-3</v>
      </c>
      <c r="O47" s="30">
        <f t="shared" si="5"/>
        <v>7.3864200587068354E-5</v>
      </c>
    </row>
    <row r="48" spans="1:15" ht="19.05" customHeight="1" x14ac:dyDescent="0.3">
      <c r="A48" s="7">
        <v>43</v>
      </c>
      <c r="B48" s="10">
        <v>0.42</v>
      </c>
      <c r="C48" s="13">
        <v>7.7164049385615385E-2</v>
      </c>
      <c r="D48" s="13">
        <v>-3.7208493830059829E-2</v>
      </c>
      <c r="E48" s="16">
        <v>101110.57972573349</v>
      </c>
      <c r="F48" s="16">
        <v>101458.53631850603</v>
      </c>
      <c r="G48" s="30">
        <f t="shared" si="6"/>
        <v>-0.38897101907756459</v>
      </c>
      <c r="H48" s="30">
        <f t="shared" si="7"/>
        <v>0.24224275465945919</v>
      </c>
      <c r="I48" s="30">
        <f t="shared" si="0"/>
        <v>-0.38284530554465945</v>
      </c>
      <c r="J48" s="30">
        <f t="shared" si="1"/>
        <v>0.23946132629843431</v>
      </c>
      <c r="K48" s="31">
        <f t="shared" si="8"/>
        <v>1.0000000000000009E-2</v>
      </c>
      <c r="L48" s="32">
        <f t="shared" si="2"/>
        <v>-4.7716615529956596E-4</v>
      </c>
      <c r="M48" s="32">
        <f t="shared" si="3"/>
        <v>4.2161059974401421E-4</v>
      </c>
      <c r="N48" s="30">
        <f t="shared" si="4"/>
        <v>6.2230663184309433E-3</v>
      </c>
      <c r="O48" s="30">
        <f t="shared" si="5"/>
        <v>8.1721389125052776E-5</v>
      </c>
    </row>
    <row r="49" spans="1:15" ht="19.05" customHeight="1" x14ac:dyDescent="0.3">
      <c r="A49" s="7">
        <v>44</v>
      </c>
      <c r="B49" s="10">
        <v>0.43</v>
      </c>
      <c r="C49" s="13">
        <v>7.6686883230315819E-2</v>
      </c>
      <c r="D49" s="13">
        <v>-3.6786883230315814E-2</v>
      </c>
      <c r="E49" s="16">
        <v>101117.33332490352</v>
      </c>
      <c r="F49" s="16">
        <v>101455.469793738</v>
      </c>
      <c r="G49" s="30">
        <f t="shared" si="6"/>
        <v>-0.37671959201175437</v>
      </c>
      <c r="H49" s="30">
        <f t="shared" si="7"/>
        <v>0.23667989793740943</v>
      </c>
      <c r="I49" s="30">
        <f t="shared" si="0"/>
        <v>-0.37078047159571115</v>
      </c>
      <c r="J49" s="30">
        <f t="shared" si="1"/>
        <v>0.23394511784664451</v>
      </c>
      <c r="K49" s="31">
        <f t="shared" si="8"/>
        <v>1.0000000000000009E-2</v>
      </c>
      <c r="L49" s="32">
        <f t="shared" si="2"/>
        <v>-5.1604984202253956E-4</v>
      </c>
      <c r="M49" s="32">
        <f t="shared" si="3"/>
        <v>4.3827206424475879E-4</v>
      </c>
      <c r="N49" s="30">
        <f t="shared" si="4"/>
        <v>6.0472558944235618E-3</v>
      </c>
      <c r="O49" s="30">
        <f t="shared" si="5"/>
        <v>8.8809594073377212E-5</v>
      </c>
    </row>
    <row r="50" spans="1:15" ht="19.05" customHeight="1" x14ac:dyDescent="0.3">
      <c r="A50" s="7">
        <v>45</v>
      </c>
      <c r="B50" s="10">
        <v>0.44</v>
      </c>
      <c r="C50" s="13">
        <v>7.617083338829328E-2</v>
      </c>
      <c r="D50" s="13">
        <v>-3.6348611166071056E-2</v>
      </c>
      <c r="E50" s="16">
        <v>101123.88120516221</v>
      </c>
      <c r="F50" s="16">
        <v>101452.45469868793</v>
      </c>
      <c r="G50" s="30">
        <f t="shared" si="6"/>
        <v>-0.36484135117966793</v>
      </c>
      <c r="H50" s="30">
        <f t="shared" si="7"/>
        <v>0.23121033775587957</v>
      </c>
      <c r="I50" s="30">
        <f t="shared" si="0"/>
        <v>-0.35907934824100596</v>
      </c>
      <c r="J50" s="30">
        <f t="shared" si="1"/>
        <v>0.22851983702909456</v>
      </c>
      <c r="K50" s="31">
        <f t="shared" si="8"/>
        <v>1.0000000000000009E-2</v>
      </c>
      <c r="L50" s="32">
        <f t="shared" si="2"/>
        <v>-5.5402342363841672E-4</v>
      </c>
      <c r="M50" s="32">
        <f t="shared" si="3"/>
        <v>4.5402342363841386E-4</v>
      </c>
      <c r="N50" s="30">
        <f t="shared" si="4"/>
        <v>5.875991852701011E-3</v>
      </c>
      <c r="O50" s="30">
        <f t="shared" si="5"/>
        <v>9.518501109309151E-5</v>
      </c>
    </row>
    <row r="51" spans="1:15" ht="19.05" customHeight="1" x14ac:dyDescent="0.3">
      <c r="A51" s="7">
        <v>46</v>
      </c>
      <c r="B51" s="10">
        <v>0.45</v>
      </c>
      <c r="C51" s="13">
        <v>7.5616809964654863E-2</v>
      </c>
      <c r="D51" s="13">
        <v>-3.5894587742432642E-2</v>
      </c>
      <c r="E51" s="16">
        <v>101130.23381340208</v>
      </c>
      <c r="F51" s="16">
        <v>101449.48842163665</v>
      </c>
      <c r="G51" s="30">
        <f t="shared" si="6"/>
        <v>-0.35331734530234399</v>
      </c>
      <c r="H51" s="30">
        <f t="shared" si="7"/>
        <v>0.22582933630230953</v>
      </c>
      <c r="I51" s="30">
        <f t="shared" si="0"/>
        <v>-0.34772366299678026</v>
      </c>
      <c r="J51" s="30">
        <f t="shared" si="1"/>
        <v>0.22318091573062471</v>
      </c>
      <c r="K51" s="31">
        <f t="shared" si="8"/>
        <v>1.0000000000000009E-2</v>
      </c>
      <c r="L51" s="32">
        <f t="shared" si="2"/>
        <v>-5.9113141486133447E-4</v>
      </c>
      <c r="M51" s="32">
        <f t="shared" si="3"/>
        <v>4.6890919263913033E-4</v>
      </c>
      <c r="N51" s="30">
        <f t="shared" si="4"/>
        <v>5.7090457872740544E-3</v>
      </c>
      <c r="O51" s="30">
        <f t="shared" si="5"/>
        <v>1.0089879788034356E-4</v>
      </c>
    </row>
    <row r="52" spans="1:15" ht="19.05" customHeight="1" x14ac:dyDescent="0.3">
      <c r="A52" s="7">
        <v>47</v>
      </c>
      <c r="B52" s="10">
        <v>0.46</v>
      </c>
      <c r="C52" s="13">
        <v>7.5025678549793529E-2</v>
      </c>
      <c r="D52" s="13">
        <v>-3.5425678549793511E-2</v>
      </c>
      <c r="E52" s="16">
        <v>101136.40084814397</v>
      </c>
      <c r="F52" s="16">
        <v>101446.56853795637</v>
      </c>
      <c r="G52" s="30">
        <f t="shared" si="6"/>
        <v>-0.34212998069121658</v>
      </c>
      <c r="H52" s="30">
        <f t="shared" si="7"/>
        <v>0.22053249515893988</v>
      </c>
      <c r="I52" s="30">
        <f t="shared" si="0"/>
        <v>-0.33669643911633107</v>
      </c>
      <c r="J52" s="30">
        <f t="shared" si="1"/>
        <v>0.21792410976803056</v>
      </c>
      <c r="K52" s="31">
        <f t="shared" si="8"/>
        <v>9.9999999999999534E-3</v>
      </c>
      <c r="L52" s="32">
        <f t="shared" si="2"/>
        <v>-6.2741609007155308E-4</v>
      </c>
      <c r="M52" s="32">
        <f t="shared" si="3"/>
        <v>4.829716456270991E-4</v>
      </c>
      <c r="N52" s="30">
        <f t="shared" si="4"/>
        <v>5.5462054888435908E-3</v>
      </c>
      <c r="O52" s="30">
        <f t="shared" si="5"/>
        <v>1.0599759745489684E-4</v>
      </c>
    </row>
    <row r="53" spans="1:15" ht="19.05" customHeight="1" x14ac:dyDescent="0.3">
      <c r="A53" s="7">
        <v>48</v>
      </c>
      <c r="B53" s="10">
        <v>0.47</v>
      </c>
      <c r="C53" s="13">
        <v>7.4398262459721975E-2</v>
      </c>
      <c r="D53" s="13">
        <v>-3.4942706904166412E-2</v>
      </c>
      <c r="E53" s="16">
        <v>101142.39132773028</v>
      </c>
      <c r="F53" s="16">
        <v>101443.69279306289</v>
      </c>
      <c r="G53" s="30">
        <f t="shared" si="6"/>
        <v>-0.33126289754144556</v>
      </c>
      <c r="H53" s="30">
        <f t="shared" si="7"/>
        <v>0.21531572437712124</v>
      </c>
      <c r="I53" s="30">
        <f t="shared" si="0"/>
        <v>-0.32598187866509321</v>
      </c>
      <c r="J53" s="30">
        <f t="shared" si="1"/>
        <v>0.2127454696596936</v>
      </c>
      <c r="K53" s="31">
        <f t="shared" si="8"/>
        <v>1.0000000000000009E-2</v>
      </c>
      <c r="L53" s="32">
        <f t="shared" si="2"/>
        <v>-6.6291769674961531E-4</v>
      </c>
      <c r="M53" s="32">
        <f t="shared" si="3"/>
        <v>4.9625103008293925E-4</v>
      </c>
      <c r="N53" s="30">
        <f t="shared" si="4"/>
        <v>5.387273483247872E-3</v>
      </c>
      <c r="O53" s="30">
        <f t="shared" si="5"/>
        <v>1.1052399772267452E-4</v>
      </c>
    </row>
    <row r="54" spans="1:15" ht="19.05" customHeight="1" x14ac:dyDescent="0.3">
      <c r="A54" s="7">
        <v>49</v>
      </c>
      <c r="B54" s="10">
        <v>0.48</v>
      </c>
      <c r="C54" s="13">
        <v>7.373534476297236E-2</v>
      </c>
      <c r="D54" s="13">
        <v>-3.4446455874083473E-2</v>
      </c>
      <c r="E54" s="16">
        <v>101148.21365104146</v>
      </c>
      <c r="F54" s="16">
        <v>101440.85908723692</v>
      </c>
      <c r="G54" s="30">
        <f t="shared" si="6"/>
        <v>-0.32070085978874086</v>
      </c>
      <c r="H54" s="30">
        <f t="shared" si="7"/>
        <v>0.21017521494226593</v>
      </c>
      <c r="I54" s="30">
        <f t="shared" si="0"/>
        <v>-0.31556525829570448</v>
      </c>
      <c r="J54" s="30">
        <f t="shared" si="1"/>
        <v>0.20764131457001062</v>
      </c>
      <c r="K54" s="31">
        <f t="shared" si="8"/>
        <v>1.0000000000000009E-2</v>
      </c>
      <c r="L54" s="32">
        <f t="shared" si="2"/>
        <v>-6.9767464457236306E-4</v>
      </c>
      <c r="M54" s="32">
        <f t="shared" si="3"/>
        <v>5.0878575568348572E-4</v>
      </c>
      <c r="N54" s="30">
        <f t="shared" si="4"/>
        <v>5.2320657286571565E-3</v>
      </c>
      <c r="O54" s="30">
        <f t="shared" si="5"/>
        <v>1.1451693627622633E-4</v>
      </c>
    </row>
    <row r="55" spans="1:15" ht="19.05" customHeight="1" x14ac:dyDescent="0.3">
      <c r="A55" s="7">
        <v>50</v>
      </c>
      <c r="B55" s="10">
        <v>0.49</v>
      </c>
      <c r="C55" s="13">
        <v>7.3037670118399997E-2</v>
      </c>
      <c r="D55" s="13">
        <v>-3.3937670118399987E-2</v>
      </c>
      <c r="E55" s="16">
        <v>101153.87565168753</v>
      </c>
      <c r="F55" s="16">
        <v>101438.06546207651</v>
      </c>
      <c r="G55" s="30">
        <f t="shared" si="6"/>
        <v>-0.31042965680266815</v>
      </c>
      <c r="H55" s="30">
        <f t="shared" si="7"/>
        <v>0.20510741419775533</v>
      </c>
      <c r="I55" s="30">
        <f t="shared" si="0"/>
        <v>-0.30543283612044714</v>
      </c>
      <c r="J55" s="30">
        <f t="shared" si="1"/>
        <v>0.20260820902778148</v>
      </c>
      <c r="K55" s="31">
        <f t="shared" si="8"/>
        <v>1.0000000000000009E-2</v>
      </c>
      <c r="L55" s="32">
        <f t="shared" si="2"/>
        <v>-7.3172367338396327E-4</v>
      </c>
      <c r="M55" s="32">
        <f t="shared" si="3"/>
        <v>5.2061256227284997E-4</v>
      </c>
      <c r="N55" s="30">
        <f t="shared" si="4"/>
        <v>5.0804104514822913E-3</v>
      </c>
      <c r="O55" s="30">
        <f t="shared" si="5"/>
        <v>1.1801205797866916E-4</v>
      </c>
    </row>
    <row r="56" spans="1:15" ht="19.05" customHeight="1" x14ac:dyDescent="0.3">
      <c r="A56" s="7">
        <v>51</v>
      </c>
      <c r="B56" s="10">
        <v>0.5</v>
      </c>
      <c r="C56" s="13">
        <v>7.2305946445016034E-2</v>
      </c>
      <c r="D56" s="13">
        <v>-3.3417057556127137E-2</v>
      </c>
      <c r="E56" s="16">
        <v>101159.38464648968</v>
      </c>
      <c r="F56" s="16">
        <v>101435.31008837662</v>
      </c>
      <c r="G56" s="30">
        <f t="shared" si="6"/>
        <v>-0.30043601543822618</v>
      </c>
      <c r="H56" s="30">
        <f t="shared" si="7"/>
        <v>0.20010900385780767</v>
      </c>
      <c r="I56" s="30">
        <f t="shared" si="0"/>
        <v>-0.29557176830758902</v>
      </c>
      <c r="J56" s="30">
        <f t="shared" si="1"/>
        <v>0.19764294207551203</v>
      </c>
      <c r="K56" s="31">
        <f t="shared" si="8"/>
        <v>1.0000000000000009E-2</v>
      </c>
      <c r="L56" s="32">
        <f t="shared" si="2"/>
        <v>-7.6510000277593693E-4</v>
      </c>
      <c r="M56" s="32">
        <f t="shared" si="3"/>
        <v>5.3176666944258766E-4</v>
      </c>
      <c r="N56" s="30">
        <f t="shared" si="4"/>
        <v>4.9321471038310145E-3</v>
      </c>
      <c r="O56" s="30">
        <f t="shared" si="5"/>
        <v>1.2104203170629565E-4</v>
      </c>
    </row>
    <row r="57" spans="1:15" ht="19.05" customHeight="1" x14ac:dyDescent="0.3">
      <c r="A57" s="7">
        <v>52</v>
      </c>
      <c r="B57" s="10">
        <v>0.51</v>
      </c>
      <c r="C57" s="13">
        <v>7.1540846442240097E-2</v>
      </c>
      <c r="D57" s="13">
        <v>-3.288529088668455E-2</v>
      </c>
      <c r="E57" s="16">
        <v>101164.74747895121</v>
      </c>
      <c r="F57" s="16">
        <v>101432.59125526164</v>
      </c>
      <c r="G57" s="30">
        <f t="shared" si="6"/>
        <v>-0.29070752117695192</v>
      </c>
      <c r="H57" s="30">
        <f t="shared" si="7"/>
        <v>0.19517688029321636</v>
      </c>
      <c r="I57" s="30">
        <f t="shared" si="0"/>
        <v>-0.28597003422089373</v>
      </c>
      <c r="J57" s="30">
        <f t="shared" si="1"/>
        <v>0.19274250855441036</v>
      </c>
      <c r="K57" s="31">
        <f t="shared" si="8"/>
        <v>1.0000000000000009E-2</v>
      </c>
      <c r="L57" s="32">
        <f t="shared" si="2"/>
        <v>-7.9783746560907476E-4</v>
      </c>
      <c r="M57" s="32">
        <f t="shared" si="3"/>
        <v>5.4228191005351728E-4</v>
      </c>
      <c r="N57" s="30">
        <f t="shared" si="4"/>
        <v>4.7871254277530445E-3</v>
      </c>
      <c r="O57" s="30">
        <f t="shared" si="5"/>
        <v>1.2363683165554621E-4</v>
      </c>
    </row>
    <row r="58" spans="1:15" ht="19.05" customHeight="1" x14ac:dyDescent="0.3">
      <c r="A58" s="7">
        <v>53</v>
      </c>
      <c r="B58" s="10">
        <v>0.52</v>
      </c>
      <c r="C58" s="13">
        <v>7.0743008976631022E-2</v>
      </c>
      <c r="D58" s="13">
        <v>-3.2343008976631032E-2</v>
      </c>
      <c r="E58" s="16">
        <v>101169.97055832026</v>
      </c>
      <c r="F58" s="16">
        <v>101429.9073604196</v>
      </c>
      <c r="G58" s="30">
        <f t="shared" si="6"/>
        <v>-0.28123254726483549</v>
      </c>
      <c r="H58" s="30">
        <f t="shared" si="7"/>
        <v>0.19030813681560435</v>
      </c>
      <c r="I58" s="30">
        <f t="shared" si="0"/>
        <v>-0.27661636908436482</v>
      </c>
      <c r="J58" s="30">
        <f t="shared" si="1"/>
        <v>0.18790409227061272</v>
      </c>
      <c r="K58" s="31">
        <f t="shared" si="8"/>
        <v>1.0000000000000009E-2</v>
      </c>
      <c r="L58" s="32">
        <f t="shared" si="2"/>
        <v>-8.2996862747677924E-4</v>
      </c>
      <c r="M58" s="32">
        <f t="shared" si="3"/>
        <v>5.5219084969899968E-4</v>
      </c>
      <c r="N58" s="30">
        <f t="shared" si="4"/>
        <v>4.6452046135497796E-3</v>
      </c>
      <c r="O58" s="30">
        <f t="shared" si="5"/>
        <v>1.2582398781373159E-4</v>
      </c>
    </row>
    <row r="59" spans="1:15" ht="19.05" customHeight="1" x14ac:dyDescent="0.3">
      <c r="A59" s="7">
        <v>54</v>
      </c>
      <c r="B59" s="10">
        <v>0.53</v>
      </c>
      <c r="C59" s="13">
        <v>6.9913040349154243E-2</v>
      </c>
      <c r="D59" s="13">
        <v>-3.1790818126932033E-2</v>
      </c>
      <c r="E59" s="16">
        <v>101175.05989476423</v>
      </c>
      <c r="F59" s="16">
        <v>101427.25690130875</v>
      </c>
      <c r="G59" s="30">
        <f t="shared" si="6"/>
        <v>-0.2720001909038941</v>
      </c>
      <c r="H59" s="30">
        <f t="shared" si="7"/>
        <v>0.18550004772562112</v>
      </c>
      <c r="I59" s="30">
        <f t="shared" si="0"/>
        <v>-0.2675002032918502</v>
      </c>
      <c r="J59" s="30">
        <f t="shared" si="1"/>
        <v>0.18312505082267677</v>
      </c>
      <c r="K59" s="31">
        <f t="shared" si="8"/>
        <v>1.0000000000000009E-2</v>
      </c>
      <c r="L59" s="32">
        <f t="shared" si="2"/>
        <v>-8.6152489382454456E-4</v>
      </c>
      <c r="M59" s="32">
        <f t="shared" si="3"/>
        <v>5.6152489382455331E-4</v>
      </c>
      <c r="N59" s="30">
        <f t="shared" si="4"/>
        <v>4.5062525411452741E-3</v>
      </c>
      <c r="O59" s="30">
        <f t="shared" si="5"/>
        <v>1.2762880951923584E-4</v>
      </c>
    </row>
    <row r="60" spans="1:15" ht="19.05" customHeight="1" x14ac:dyDescent="0.3">
      <c r="A60" s="7">
        <v>55</v>
      </c>
      <c r="B60" s="10">
        <v>0.54</v>
      </c>
      <c r="C60" s="13">
        <v>6.9051515455329698E-2</v>
      </c>
      <c r="D60" s="13">
        <v>-3.1229293233107479E-2</v>
      </c>
      <c r="E60" s="16">
        <v>101180.02113110651</v>
      </c>
      <c r="F60" s="16">
        <v>101424.63846722325</v>
      </c>
      <c r="G60" s="30">
        <f t="shared" si="6"/>
        <v>-0.26300021567980625</v>
      </c>
      <c r="H60" s="30">
        <f t="shared" si="7"/>
        <v>0.18075005391973245</v>
      </c>
      <c r="I60" s="30">
        <f t="shared" si="0"/>
        <v>-0.25861160759807483</v>
      </c>
      <c r="J60" s="30">
        <f t="shared" si="1"/>
        <v>0.17840290189935304</v>
      </c>
      <c r="K60" s="31">
        <f t="shared" si="8"/>
        <v>1.0000000000000009E-2</v>
      </c>
      <c r="L60" s="32">
        <f t="shared" si="2"/>
        <v>-8.9253660620756958E-4</v>
      </c>
      <c r="M60" s="32">
        <f t="shared" si="3"/>
        <v>5.7031438398534584E-4</v>
      </c>
      <c r="N60" s="30">
        <f t="shared" si="4"/>
        <v>4.3701450949742825E-3</v>
      </c>
      <c r="O60" s="30">
        <f t="shared" si="5"/>
        <v>1.2907458547354182E-4</v>
      </c>
    </row>
    <row r="61" spans="1:15" ht="19.05" customHeight="1" x14ac:dyDescent="0.3">
      <c r="A61" s="7">
        <v>56</v>
      </c>
      <c r="B61" s="10">
        <v>0.55000000000000004</v>
      </c>
      <c r="C61" s="13">
        <v>6.8158978849122129E-2</v>
      </c>
      <c r="D61" s="13">
        <v>-3.0658978849122134E-2</v>
      </c>
      <c r="E61" s="16">
        <v>101184.85957151662</v>
      </c>
      <c r="F61" s="16">
        <v>101422.05073212078</v>
      </c>
      <c r="G61" s="30">
        <f t="shared" si="6"/>
        <v>-0.25422299951634342</v>
      </c>
      <c r="H61" s="30">
        <f t="shared" si="7"/>
        <v>0.17605574987897366</v>
      </c>
      <c r="I61" s="30">
        <f t="shared" si="0"/>
        <v>-0.24994124352744285</v>
      </c>
      <c r="J61" s="30">
        <f t="shared" si="1"/>
        <v>0.17373531088176236</v>
      </c>
      <c r="K61" s="31">
        <f t="shared" si="8"/>
        <v>1.0000000000000009E-2</v>
      </c>
      <c r="L61" s="32">
        <f t="shared" si="2"/>
        <v>-9.2303312896237222E-4</v>
      </c>
      <c r="M61" s="32">
        <f t="shared" si="3"/>
        <v>5.785886845179368E-4</v>
      </c>
      <c r="N61" s="30">
        <f t="shared" si="4"/>
        <v>4.2367655440920561E-3</v>
      </c>
      <c r="O61" s="30">
        <f t="shared" si="5"/>
        <v>1.3018276309248813E-4</v>
      </c>
    </row>
    <row r="62" spans="1:15" ht="19.05" customHeight="1" x14ac:dyDescent="0.3">
      <c r="A62" s="7">
        <v>57</v>
      </c>
      <c r="B62" s="10">
        <v>0.56000000000000005</v>
      </c>
      <c r="C62" s="13">
        <v>6.7235945720159757E-2</v>
      </c>
      <c r="D62" s="13">
        <v>-3.0080390164604197E-2</v>
      </c>
      <c r="E62" s="16">
        <v>101189.58020749438</v>
      </c>
      <c r="F62" s="16">
        <v>101419.49244812636</v>
      </c>
      <c r="G62" s="30">
        <f t="shared" si="6"/>
        <v>-0.2456594875385423</v>
      </c>
      <c r="H62" s="30">
        <f t="shared" si="7"/>
        <v>0.1714148718845511</v>
      </c>
      <c r="I62" s="30">
        <f t="shared" si="0"/>
        <v>-0.2414803184217128</v>
      </c>
      <c r="J62" s="30">
        <f t="shared" si="1"/>
        <v>0.16912007960535758</v>
      </c>
      <c r="K62" s="31">
        <f t="shared" si="8"/>
        <v>9.9999999999998979E-3</v>
      </c>
      <c r="L62" s="32">
        <f t="shared" si="2"/>
        <v>-9.5304292740219787E-4</v>
      </c>
      <c r="M62" s="32">
        <f t="shared" si="3"/>
        <v>5.8637626073552995E-4</v>
      </c>
      <c r="N62" s="30">
        <f t="shared" si="4"/>
        <v>4.1060039802706619E-3</v>
      </c>
      <c r="O62" s="30">
        <f t="shared" si="5"/>
        <v>1.3097310968435933E-4</v>
      </c>
    </row>
    <row r="63" spans="1:15" ht="19.05" customHeight="1" x14ac:dyDescent="0.3">
      <c r="A63" s="7">
        <v>58</v>
      </c>
      <c r="B63" s="10">
        <v>0.56999999999999995</v>
      </c>
      <c r="C63" s="13">
        <v>6.6282902792757559E-2</v>
      </c>
      <c r="D63" s="13">
        <v>-2.9494013903868667E-2</v>
      </c>
      <c r="E63" s="16">
        <v>101194.18774144568</v>
      </c>
      <c r="F63" s="16">
        <v>101416.96243963855</v>
      </c>
      <c r="G63" s="30">
        <f t="shared" si="6"/>
        <v>-0.23730114930488333</v>
      </c>
      <c r="H63" s="30">
        <f t="shared" si="7"/>
        <v>0.16682528732616408</v>
      </c>
      <c r="I63" s="30">
        <f t="shared" si="0"/>
        <v>-0.23322054462090541</v>
      </c>
      <c r="J63" s="30">
        <f t="shared" si="1"/>
        <v>0.16455513615518347</v>
      </c>
      <c r="K63" s="31">
        <f t="shared" si="8"/>
        <v>1.0000000000000009E-2</v>
      </c>
      <c r="L63" s="32">
        <f t="shared" si="2"/>
        <v>-9.8259363849791115E-4</v>
      </c>
      <c r="M63" s="32">
        <f t="shared" si="3"/>
        <v>5.9370474960901767E-4</v>
      </c>
      <c r="N63" s="30">
        <f t="shared" si="4"/>
        <v>3.9777568077608927E-3</v>
      </c>
      <c r="O63" s="30">
        <f t="shared" si="5"/>
        <v>1.3146385760362886E-4</v>
      </c>
    </row>
    <row r="64" spans="1:15" ht="19.05" customHeight="1" x14ac:dyDescent="0.3">
      <c r="A64" s="7">
        <v>59</v>
      </c>
      <c r="B64" s="10">
        <v>0.57999999999999996</v>
      </c>
      <c r="C64" s="13">
        <v>6.5300309154259648E-2</v>
      </c>
      <c r="D64" s="13">
        <v>-2.8900309154259649E-2</v>
      </c>
      <c r="E64" s="16">
        <v>101198.68660810977</v>
      </c>
      <c r="F64" s="16">
        <v>101414.45959797254</v>
      </c>
      <c r="G64" s="30">
        <f t="shared" si="6"/>
        <v>-0.22913993993692749</v>
      </c>
      <c r="H64" s="30">
        <f t="shared" si="7"/>
        <v>0.16228498498420285</v>
      </c>
      <c r="I64" s="30">
        <f t="shared" si="0"/>
        <v>-0.22515410233445807</v>
      </c>
      <c r="J64" s="30">
        <f t="shared" si="1"/>
        <v>0.16003852558358944</v>
      </c>
      <c r="K64" s="31">
        <f t="shared" si="8"/>
        <v>1.0000000000000009E-2</v>
      </c>
      <c r="L64" s="32">
        <f t="shared" si="2"/>
        <v>-1.0117121348838104E-3</v>
      </c>
      <c r="M64" s="32">
        <f t="shared" si="3"/>
        <v>6.0060102377270178E-4</v>
      </c>
      <c r="N64" s="30">
        <f t="shared" si="4"/>
        <v>3.851926279180479E-3</v>
      </c>
      <c r="O64" s="30">
        <f t="shared" si="5"/>
        <v>1.3167183524206494E-4</v>
      </c>
    </row>
    <row r="65" spans="1:15" ht="19.05" customHeight="1" x14ac:dyDescent="0.3">
      <c r="A65" s="7">
        <v>60</v>
      </c>
      <c r="B65" s="10">
        <v>0.59</v>
      </c>
      <c r="C65" s="13">
        <v>6.4288597019375837E-2</v>
      </c>
      <c r="D65" s="13">
        <v>-2.8299708130486947E-2</v>
      </c>
      <c r="E65" s="16">
        <v>101203.08099406649</v>
      </c>
      <c r="F65" s="16">
        <v>101411.98287648337</v>
      </c>
      <c r="G65" s="30">
        <f t="shared" si="6"/>
        <v>-0.22116826473198864</v>
      </c>
      <c r="H65" s="30">
        <f t="shared" si="7"/>
        <v>0.15779206618297603</v>
      </c>
      <c r="I65" s="30">
        <f t="shared" si="0"/>
        <v>-0.21727360581346658</v>
      </c>
      <c r="J65" s="30">
        <f t="shared" si="1"/>
        <v>0.1555684014533561</v>
      </c>
      <c r="K65" s="31">
        <f t="shared" si="8"/>
        <v>1.0000000000000009E-2</v>
      </c>
      <c r="L65" s="32">
        <f t="shared" si="2"/>
        <v>-1.0404245829202241E-3</v>
      </c>
      <c r="M65" s="32">
        <f t="shared" si="3"/>
        <v>6.0709124958688646E-4</v>
      </c>
      <c r="N65" s="30">
        <f t="shared" si="4"/>
        <v>3.7284200726682305E-3</v>
      </c>
      <c r="O65" s="30">
        <f t="shared" si="5"/>
        <v>1.316125854734968E-4</v>
      </c>
    </row>
    <row r="66" spans="1:15" ht="19.05" customHeight="1" x14ac:dyDescent="0.3">
      <c r="A66" s="7">
        <v>61</v>
      </c>
      <c r="B66" s="10">
        <v>0.6</v>
      </c>
      <c r="C66" s="13">
        <v>6.3248172436455613E-2</v>
      </c>
      <c r="D66" s="13">
        <v>-2.7692616880900061E-2</v>
      </c>
      <c r="E66" s="16">
        <v>101207.37485552416</v>
      </c>
      <c r="F66" s="16">
        <v>101409.53128611896</v>
      </c>
      <c r="G66" s="30">
        <f t="shared" si="6"/>
        <v>-0.21337894689494452</v>
      </c>
      <c r="H66" s="30">
        <f t="shared" si="7"/>
        <v>0.15334473672373614</v>
      </c>
      <c r="I66" s="30">
        <f t="shared" si="0"/>
        <v>-0.20957207248168427</v>
      </c>
      <c r="J66" s="30">
        <f t="shared" si="1"/>
        <v>0.15114301812041514</v>
      </c>
      <c r="K66" s="31">
        <f t="shared" si="8"/>
        <v>1.0000000000000009E-2</v>
      </c>
      <c r="L66" s="32">
        <f t="shared" si="2"/>
        <v>-1.068756495454487E-3</v>
      </c>
      <c r="M66" s="32">
        <f t="shared" si="3"/>
        <v>6.132009398989377E-4</v>
      </c>
      <c r="N66" s="30">
        <f t="shared" si="4"/>
        <v>3.6071509060209969E-3</v>
      </c>
      <c r="O66" s="30">
        <f t="shared" si="5"/>
        <v>1.3130047296005788E-4</v>
      </c>
    </row>
    <row r="67" spans="1:15" ht="19.05" customHeight="1" x14ac:dyDescent="0.3">
      <c r="A67" s="7">
        <v>62</v>
      </c>
      <c r="B67" s="10">
        <v>0.61</v>
      </c>
      <c r="C67" s="13">
        <v>6.2179415941001126E-2</v>
      </c>
      <c r="D67" s="13">
        <v>-2.7079415941001123E-2</v>
      </c>
      <c r="E67" s="16">
        <v>101211.57193456478</v>
      </c>
      <c r="F67" s="16">
        <v>101407.1038913588</v>
      </c>
      <c r="G67" s="30">
        <f t="shared" si="6"/>
        <v>-0.20576519806842403</v>
      </c>
      <c r="H67" s="30">
        <f t="shared" si="7"/>
        <v>0.14894129951709412</v>
      </c>
      <c r="I67" s="30">
        <f t="shared" si="0"/>
        <v>-0.20204289472321907</v>
      </c>
      <c r="J67" s="30">
        <f t="shared" si="1"/>
        <v>0.14676072368079685</v>
      </c>
      <c r="K67" s="31">
        <f t="shared" si="8"/>
        <v>1.0000000000000009E-2</v>
      </c>
      <c r="L67" s="32">
        <f t="shared" si="2"/>
        <v>-1.0967327798436233E-3</v>
      </c>
      <c r="M67" s="32">
        <f t="shared" si="3"/>
        <v>6.1895500206583104E-4</v>
      </c>
      <c r="N67" s="30">
        <f t="shared" si="4"/>
        <v>3.4880361840401624E-3</v>
      </c>
      <c r="O67" s="30">
        <f t="shared" si="5"/>
        <v>1.3074878154841808E-4</v>
      </c>
    </row>
    <row r="68" spans="1:15" ht="19.05" customHeight="1" x14ac:dyDescent="0.3">
      <c r="A68" s="7">
        <v>63</v>
      </c>
      <c r="B68" s="10">
        <v>0.62</v>
      </c>
      <c r="C68" s="13">
        <v>6.1082683161157503E-2</v>
      </c>
      <c r="D68" s="13">
        <v>-2.6460460938935292E-2</v>
      </c>
      <c r="E68" s="16">
        <v>101215.67577400287</v>
      </c>
      <c r="F68" s="16">
        <v>101404.69980649928</v>
      </c>
      <c r="G68" s="30">
        <f t="shared" si="6"/>
        <v>-0.19832059137801408</v>
      </c>
      <c r="H68" s="30">
        <f t="shared" si="7"/>
        <v>0.14458014784449957</v>
      </c>
      <c r="I68" s="30">
        <f t="shared" si="0"/>
        <v>-0.194679814060084</v>
      </c>
      <c r="J68" s="30">
        <f t="shared" si="1"/>
        <v>0.14241995351501771</v>
      </c>
      <c r="K68" s="31">
        <f t="shared" si="8"/>
        <v>1.0000000000000009E-2</v>
      </c>
      <c r="L68" s="32">
        <f t="shared" si="2"/>
        <v>-1.1243777817325634E-3</v>
      </c>
      <c r="M68" s="32">
        <f t="shared" si="3"/>
        <v>6.2437778173256298E-4</v>
      </c>
      <c r="N68" s="30">
        <f t="shared" si="4"/>
        <v>3.3709976757510204E-3</v>
      </c>
      <c r="O68" s="30">
        <f t="shared" si="5"/>
        <v>1.2996980283082367E-4</v>
      </c>
    </row>
    <row r="69" spans="1:15" ht="19.05" customHeight="1" x14ac:dyDescent="0.3">
      <c r="A69" s="7">
        <v>64</v>
      </c>
      <c r="B69" s="10">
        <v>0.63</v>
      </c>
      <c r="C69" s="13">
        <v>5.9958305379424939E-2</v>
      </c>
      <c r="D69" s="13">
        <v>-2.5836083157202729E-2</v>
      </c>
      <c r="E69" s="16">
        <v>101219.68973099589</v>
      </c>
      <c r="F69" s="16">
        <v>101402.31819225103</v>
      </c>
      <c r="G69" s="30">
        <f t="shared" si="6"/>
        <v>-0.19103903674215392</v>
      </c>
      <c r="H69" s="30">
        <f t="shared" si="7"/>
        <v>0.14025975918553585</v>
      </c>
      <c r="I69" s="30">
        <f t="shared" si="0"/>
        <v>-0.1874768974832729</v>
      </c>
      <c r="J69" s="30">
        <f t="shared" si="1"/>
        <v>0.13811922437081625</v>
      </c>
      <c r="K69" s="31">
        <f t="shared" si="8"/>
        <v>1.0000000000000009E-2</v>
      </c>
      <c r="L69" s="32">
        <f t="shared" si="2"/>
        <v>-1.1517153250249351E-3</v>
      </c>
      <c r="M69" s="32">
        <f t="shared" si="3"/>
        <v>6.2949310280271953E-4</v>
      </c>
      <c r="N69" s="30">
        <f t="shared" si="4"/>
        <v>3.2559612185408945E-3</v>
      </c>
      <c r="O69" s="30">
        <f t="shared" si="5"/>
        <v>1.2897491681372397E-4</v>
      </c>
    </row>
    <row r="70" spans="1:15" ht="19.05" customHeight="1" x14ac:dyDescent="0.3">
      <c r="A70" s="7">
        <v>65</v>
      </c>
      <c r="B70" s="10">
        <v>0.64</v>
      </c>
      <c r="C70" s="13">
        <v>5.8806590054400004E-2</v>
      </c>
      <c r="D70" s="13">
        <v>-2.520659005440001E-2</v>
      </c>
      <c r="E70" s="16">
        <v>101223.6169895288</v>
      </c>
      <c r="F70" s="16">
        <v>101399.9582526178</v>
      </c>
      <c r="G70" s="30">
        <f t="shared" ref="G70:G105" si="9">(E70-101325)/551.25</f>
        <v>-0.18391475822439191</v>
      </c>
      <c r="H70" s="30">
        <f t="shared" si="7"/>
        <v>0.13597868955609665</v>
      </c>
      <c r="I70" s="30">
        <f t="shared" si="0"/>
        <v>-0.180428515727457</v>
      </c>
      <c r="J70" s="30">
        <f t="shared" si="1"/>
        <v>0.13385712893186358</v>
      </c>
      <c r="K70" s="31">
        <f t="shared" si="8"/>
        <v>1.0000000000000009E-2</v>
      </c>
      <c r="L70" s="32">
        <f t="shared" si="2"/>
        <v>-1.1787687484318687E-3</v>
      </c>
      <c r="M70" s="32">
        <f t="shared" si="3"/>
        <v>6.3432430398743106E-4</v>
      </c>
      <c r="N70" s="30">
        <f t="shared" si="4"/>
        <v>3.1428564465932085E-3</v>
      </c>
      <c r="O70" s="30">
        <f t="shared" si="5"/>
        <v>1.2777466552201406E-4</v>
      </c>
    </row>
    <row r="71" spans="1:15" ht="19.05" customHeight="1" x14ac:dyDescent="0.3">
      <c r="A71" s="7">
        <v>66</v>
      </c>
      <c r="B71" s="10">
        <v>0.65</v>
      </c>
      <c r="C71" s="13">
        <v>5.7627821305968135E-2</v>
      </c>
      <c r="D71" s="13">
        <v>-2.4572265750412579E-2</v>
      </c>
      <c r="E71" s="16">
        <v>101227.46057188167</v>
      </c>
      <c r="F71" s="16">
        <v>101397.61923202958</v>
      </c>
      <c r="G71" s="30">
        <f t="shared" si="9"/>
        <v>-0.17694227323052208</v>
      </c>
      <c r="H71" s="30">
        <f t="shared" ref="H71:H105" si="10">(F71-101325)/551.25</f>
        <v>0.13173556830763053</v>
      </c>
      <c r="I71" s="30">
        <f t="shared" ref="I71:I105" si="11">(G71+G72)/2</f>
        <v>-0.17352932330298548</v>
      </c>
      <c r="J71" s="30">
        <f t="shared" ref="J71:J105" si="12">(H71+H72)/2</f>
        <v>0.12963233082575032</v>
      </c>
      <c r="K71" s="31">
        <f t="shared" ref="K71:K105" si="13">B72-B71</f>
        <v>1.0000000000000009E-2</v>
      </c>
      <c r="L71" s="32">
        <f t="shared" ref="L71:L105" si="14">C72-C71</f>
        <v>-1.2055609389387267E-3</v>
      </c>
      <c r="M71" s="32">
        <f t="shared" ref="M71:M105" si="15">D72-D71</f>
        <v>6.3889427227205656E-4</v>
      </c>
      <c r="N71" s="30">
        <f t="shared" ref="N71:N105" si="16">(J71-I71)*K71</f>
        <v>3.0316165412873609E-3</v>
      </c>
      <c r="O71" s="30">
        <f t="shared" ref="O71:O105" si="17">(I71*L71)-(J71*M71)</f>
        <v>1.263788202687008E-4</v>
      </c>
    </row>
    <row r="72" spans="1:15" ht="19.05" customHeight="1" x14ac:dyDescent="0.3">
      <c r="A72" s="7">
        <v>67</v>
      </c>
      <c r="B72" s="10">
        <v>0.66</v>
      </c>
      <c r="C72" s="13">
        <v>5.6422260367029409E-2</v>
      </c>
      <c r="D72" s="13">
        <v>-2.3933371478140522E-2</v>
      </c>
      <c r="E72" s="16">
        <v>101231.22334917678</v>
      </c>
      <c r="F72" s="16">
        <v>101395.30041270581</v>
      </c>
      <c r="G72" s="30">
        <f t="shared" si="9"/>
        <v>-0.17011637337544885</v>
      </c>
      <c r="H72" s="30">
        <f t="shared" si="10"/>
        <v>0.12752909334387014</v>
      </c>
      <c r="I72" s="30">
        <f t="shared" si="11"/>
        <v>-0.16677424011900102</v>
      </c>
      <c r="J72" s="30">
        <f t="shared" si="12"/>
        <v>0.12544356002975224</v>
      </c>
      <c r="K72" s="31">
        <f t="shared" si="13"/>
        <v>1.0000000000000009E-2</v>
      </c>
      <c r="L72" s="32">
        <f t="shared" si="14"/>
        <v>-1.2321143624935971E-3</v>
      </c>
      <c r="M72" s="32">
        <f t="shared" si="15"/>
        <v>6.4322547360469787E-4</v>
      </c>
      <c r="N72" s="30">
        <f t="shared" si="16"/>
        <v>2.922178001487535E-3</v>
      </c>
      <c r="O72" s="30">
        <f t="shared" si="17"/>
        <v>1.2479644323378029E-4</v>
      </c>
    </row>
    <row r="73" spans="1:15" ht="19.05" customHeight="1" x14ac:dyDescent="0.3">
      <c r="A73" s="7">
        <v>68</v>
      </c>
      <c r="B73" s="10">
        <v>0.67</v>
      </c>
      <c r="C73" s="13">
        <v>5.5190146004535812E-2</v>
      </c>
      <c r="D73" s="13">
        <v>-2.3290146004535824E-2</v>
      </c>
      <c r="E73" s="16">
        <v>101234.90805109202</v>
      </c>
      <c r="F73" s="16">
        <v>101393.00111222699</v>
      </c>
      <c r="G73" s="30">
        <f t="shared" si="9"/>
        <v>-0.16343210686255319</v>
      </c>
      <c r="H73" s="30">
        <f t="shared" si="10"/>
        <v>0.12335802671563434</v>
      </c>
      <c r="I73" s="30">
        <f t="shared" si="11"/>
        <v>-0.1601584345494321</v>
      </c>
      <c r="J73" s="30">
        <f t="shared" si="12"/>
        <v>0.12128960863735143</v>
      </c>
      <c r="K73" s="31">
        <f t="shared" si="13"/>
        <v>1.0000000000000009E-2</v>
      </c>
      <c r="L73" s="32">
        <f t="shared" si="14"/>
        <v>-1.2584510921853781E-3</v>
      </c>
      <c r="M73" s="32">
        <f t="shared" si="15"/>
        <v>6.4733998107427068E-4</v>
      </c>
      <c r="N73" s="30">
        <f t="shared" si="16"/>
        <v>2.8144804318678378E-3</v>
      </c>
      <c r="O73" s="30">
        <f t="shared" si="17"/>
        <v>1.2303594392162447E-4</v>
      </c>
    </row>
    <row r="74" spans="1:15" ht="19.05" customHeight="1" x14ac:dyDescent="0.3">
      <c r="A74" s="7">
        <v>69</v>
      </c>
      <c r="B74" s="10">
        <v>0.68</v>
      </c>
      <c r="C74" s="13">
        <v>5.3931694912350434E-2</v>
      </c>
      <c r="D74" s="13">
        <v>-2.2642806023461554E-2</v>
      </c>
      <c r="E74" s="16">
        <v>101238.51727481723</v>
      </c>
      <c r="F74" s="16">
        <v>101390.72068129569</v>
      </c>
      <c r="G74" s="30">
        <f t="shared" si="9"/>
        <v>-0.15688476223631101</v>
      </c>
      <c r="H74" s="30">
        <f t="shared" si="10"/>
        <v>0.11922119055906852</v>
      </c>
      <c r="I74" s="30">
        <f t="shared" si="11"/>
        <v>-0.15367730780954203</v>
      </c>
      <c r="J74" s="30">
        <f t="shared" si="12"/>
        <v>0.11716932695238352</v>
      </c>
      <c r="K74" s="31">
        <f t="shared" si="13"/>
        <v>9.9999999999998979E-3</v>
      </c>
      <c r="L74" s="32">
        <f t="shared" si="14"/>
        <v>-1.2845928341500834E-3</v>
      </c>
      <c r="M74" s="32">
        <f t="shared" si="15"/>
        <v>6.5125950081675391E-4</v>
      </c>
      <c r="N74" s="30">
        <f t="shared" si="16"/>
        <v>2.7084663476192278E-3</v>
      </c>
      <c r="O74" s="30">
        <f t="shared" si="17"/>
        <v>1.2110513100157001E-4</v>
      </c>
    </row>
    <row r="75" spans="1:15" ht="19.05" customHeight="1" x14ac:dyDescent="0.3">
      <c r="A75" s="7">
        <v>70</v>
      </c>
      <c r="B75" s="10">
        <v>0.69</v>
      </c>
      <c r="C75" s="13">
        <v>5.264710207820035E-2</v>
      </c>
      <c r="D75" s="13">
        <v>-2.19915465226448E-2</v>
      </c>
      <c r="E75" s="16">
        <v>101242.05349332275</v>
      </c>
      <c r="F75" s="16">
        <v>101388.45850166932</v>
      </c>
      <c r="G75" s="30">
        <f t="shared" si="9"/>
        <v>-0.15046985338277305</v>
      </c>
      <c r="H75" s="30">
        <f t="shared" si="10"/>
        <v>0.11511746334569854</v>
      </c>
      <c r="I75" s="30">
        <f t="shared" si="11"/>
        <v>-0.14732647952427003</v>
      </c>
      <c r="J75" s="30">
        <f t="shared" si="12"/>
        <v>0.11308161988107343</v>
      </c>
      <c r="K75" s="31">
        <f t="shared" si="13"/>
        <v>1.0000000000000009E-2</v>
      </c>
      <c r="L75" s="32">
        <f t="shared" si="14"/>
        <v>-1.3105609514201463E-3</v>
      </c>
      <c r="M75" s="32">
        <f t="shared" si="15"/>
        <v>6.5500539586459475E-4</v>
      </c>
      <c r="N75" s="30">
        <f t="shared" si="16"/>
        <v>2.6040809940534372E-3</v>
      </c>
      <c r="O75" s="30">
        <f t="shared" si="17"/>
        <v>1.190112599794959E-4</v>
      </c>
    </row>
    <row r="76" spans="1:15" ht="19.05" customHeight="1" x14ac:dyDescent="0.3">
      <c r="A76" s="7">
        <v>71</v>
      </c>
      <c r="B76" s="10">
        <v>0.7</v>
      </c>
      <c r="C76" s="13">
        <v>5.1336541126780204E-2</v>
      </c>
      <c r="D76" s="13">
        <v>-2.1336541126780205E-2</v>
      </c>
      <c r="E76" s="16">
        <v>101245.51906300175</v>
      </c>
      <c r="F76" s="16">
        <v>101386.21398424957</v>
      </c>
      <c r="G76" s="30">
        <f t="shared" si="9"/>
        <v>-0.14418310566576698</v>
      </c>
      <c r="H76" s="30">
        <f t="shared" si="10"/>
        <v>0.11104577641644833</v>
      </c>
      <c r="I76" s="30">
        <f t="shared" si="11"/>
        <v>-0.14110177438211197</v>
      </c>
      <c r="J76" s="30">
        <f t="shared" si="12"/>
        <v>0.10902544359553525</v>
      </c>
      <c r="K76" s="31">
        <f t="shared" si="13"/>
        <v>1.0000000000000009E-2</v>
      </c>
      <c r="L76" s="32">
        <f t="shared" si="14"/>
        <v>-1.3363764859054897E-3</v>
      </c>
      <c r="M76" s="32">
        <f t="shared" si="15"/>
        <v>6.5859870812770213E-4</v>
      </c>
      <c r="N76" s="30">
        <f t="shared" si="16"/>
        <v>2.5012721797764742E-3</v>
      </c>
      <c r="O76" s="30">
        <f t="shared" si="17"/>
        <v>1.1676107709872686E-4</v>
      </c>
    </row>
    <row r="77" spans="1:15" ht="19.05" customHeight="1" x14ac:dyDescent="0.3">
      <c r="A77" s="7">
        <v>72</v>
      </c>
      <c r="B77" s="10">
        <v>0.71</v>
      </c>
      <c r="C77" s="13">
        <v>5.0000164640874714E-2</v>
      </c>
      <c r="D77" s="13">
        <v>-2.0677942418652503E-2</v>
      </c>
      <c r="E77" s="16">
        <v>101248.91623074198</v>
      </c>
      <c r="F77" s="16">
        <v>101383.98656731451</v>
      </c>
      <c r="G77" s="30">
        <f t="shared" si="9"/>
        <v>-0.13802044309845696</v>
      </c>
      <c r="H77" s="30">
        <f t="shared" si="10"/>
        <v>0.10700511077462216</v>
      </c>
      <c r="I77" s="30">
        <f t="shared" si="11"/>
        <v>-0.1349992097789145</v>
      </c>
      <c r="J77" s="30">
        <f t="shared" si="12"/>
        <v>0.10499980244472731</v>
      </c>
      <c r="K77" s="31">
        <f t="shared" si="13"/>
        <v>1.0000000000000009E-2</v>
      </c>
      <c r="L77" s="32">
        <f t="shared" si="14"/>
        <v>-1.3620601786777375E-3</v>
      </c>
      <c r="M77" s="32">
        <f t="shared" si="15"/>
        <v>6.6206017867774178E-4</v>
      </c>
      <c r="N77" s="30">
        <f t="shared" si="16"/>
        <v>2.3999901222364201E-3</v>
      </c>
      <c r="O77" s="30">
        <f t="shared" si="17"/>
        <v>1.1436085982513791E-4</v>
      </c>
    </row>
    <row r="78" spans="1:15" ht="19.05" customHeight="1" x14ac:dyDescent="0.3">
      <c r="A78" s="7">
        <v>73</v>
      </c>
      <c r="B78" s="10">
        <v>0.72</v>
      </c>
      <c r="C78" s="13">
        <v>4.8638104462196977E-2</v>
      </c>
      <c r="D78" s="13">
        <v>-2.0015882239974761E-2</v>
      </c>
      <c r="E78" s="16">
        <v>101252.24714047677</v>
      </c>
      <c r="F78" s="16">
        <v>101381.7757148808</v>
      </c>
      <c r="G78" s="30">
        <f t="shared" si="9"/>
        <v>-0.13197797645937204</v>
      </c>
      <c r="H78" s="30">
        <f t="shared" si="10"/>
        <v>0.10299449411483245</v>
      </c>
      <c r="I78" s="30">
        <f t="shared" si="11"/>
        <v>-0.12901498436570893</v>
      </c>
      <c r="J78" s="30">
        <f t="shared" si="12"/>
        <v>0.10100374609142723</v>
      </c>
      <c r="K78" s="31">
        <f t="shared" si="13"/>
        <v>1.0000000000000009E-2</v>
      </c>
      <c r="L78" s="32">
        <f t="shared" si="14"/>
        <v>-1.3876324887104746E-3</v>
      </c>
      <c r="M78" s="32">
        <f t="shared" si="15"/>
        <v>6.6541026648826371E-4</v>
      </c>
      <c r="N78" s="30">
        <f t="shared" si="16"/>
        <v>2.3001873045713638E-3</v>
      </c>
      <c r="O78" s="30">
        <f t="shared" si="17"/>
        <v>1.1181645423332215E-4</v>
      </c>
    </row>
    <row r="79" spans="1:15" ht="19.05" customHeight="1" x14ac:dyDescent="0.3">
      <c r="A79" s="7">
        <v>74</v>
      </c>
      <c r="B79" s="10">
        <v>0.73</v>
      </c>
      <c r="C79" s="13">
        <v>4.7250471973486502E-2</v>
      </c>
      <c r="D79" s="13">
        <v>-1.9350471973486497E-2</v>
      </c>
      <c r="E79" s="16">
        <v>101255.51383926003</v>
      </c>
      <c r="F79" s="16">
        <v>101379.580915185</v>
      </c>
      <c r="G79" s="30">
        <f t="shared" si="9"/>
        <v>-0.12605199227204583</v>
      </c>
      <c r="H79" s="30">
        <f t="shared" si="10"/>
        <v>9.9012998068022023E-2</v>
      </c>
      <c r="I79" s="30">
        <f t="shared" si="11"/>
        <v>-0.12314546742321303</v>
      </c>
      <c r="J79" s="30">
        <f t="shared" si="12"/>
        <v>9.7036366855811185E-2</v>
      </c>
      <c r="K79" s="31">
        <f t="shared" si="13"/>
        <v>1.0000000000000009E-2</v>
      </c>
      <c r="L79" s="32">
        <f t="shared" si="14"/>
        <v>-1.4131136102114028E-3</v>
      </c>
      <c r="M79" s="32">
        <f t="shared" si="15"/>
        <v>6.6866916576695246E-4</v>
      </c>
      <c r="N79" s="30">
        <f t="shared" si="16"/>
        <v>2.201818342790244E-3</v>
      </c>
      <c r="O79" s="30">
        <f t="shared" si="17"/>
        <v>1.0913330957705602E-4</v>
      </c>
    </row>
    <row r="80" spans="1:15" ht="19.05" customHeight="1" x14ac:dyDescent="0.3">
      <c r="A80" s="7">
        <v>75</v>
      </c>
      <c r="B80" s="10">
        <v>0.74</v>
      </c>
      <c r="C80" s="13">
        <v>4.5837358363275099E-2</v>
      </c>
      <c r="D80" s="13">
        <v>-1.8681802807719545E-2</v>
      </c>
      <c r="E80" s="16">
        <v>101258.71828290587</v>
      </c>
      <c r="F80" s="16">
        <v>101377.40167927353</v>
      </c>
      <c r="G80" s="30">
        <f t="shared" si="9"/>
        <v>-0.12023894257438021</v>
      </c>
      <c r="H80" s="30">
        <f t="shared" si="10"/>
        <v>9.5059735643600332E-2</v>
      </c>
      <c r="I80" s="30">
        <f t="shared" si="11"/>
        <v>-0.1173871889929398</v>
      </c>
      <c r="J80" s="30">
        <f t="shared" si="12"/>
        <v>9.3096797248240881E-2</v>
      </c>
      <c r="K80" s="31">
        <f t="shared" si="13"/>
        <v>1.0000000000000009E-2</v>
      </c>
      <c r="L80" s="32">
        <f t="shared" si="14"/>
        <v>-1.4385234886707537E-3</v>
      </c>
      <c r="M80" s="32">
        <f t="shared" si="15"/>
        <v>6.7185682200409866E-4</v>
      </c>
      <c r="N80" s="30">
        <f t="shared" si="16"/>
        <v>2.1048398624118089E-3</v>
      </c>
      <c r="O80" s="30">
        <f t="shared" si="17"/>
        <v>1.0631651029741384E-4</v>
      </c>
    </row>
    <row r="81" spans="1:15" ht="19.05" customHeight="1" x14ac:dyDescent="0.3">
      <c r="A81" s="7">
        <v>76</v>
      </c>
      <c r="B81" s="10">
        <v>0.75</v>
      </c>
      <c r="C81" s="13">
        <v>4.4398834874604345E-2</v>
      </c>
      <c r="D81" s="13">
        <v>-1.8009945985715446E-2</v>
      </c>
      <c r="E81" s="16">
        <v>101261.86234122941</v>
      </c>
      <c r="F81" s="16">
        <v>101375.23753969265</v>
      </c>
      <c r="G81" s="30">
        <f t="shared" si="9"/>
        <v>-0.11453543541149939</v>
      </c>
      <c r="H81" s="30">
        <f t="shared" si="10"/>
        <v>9.1133858852881444E-2</v>
      </c>
      <c r="I81" s="30">
        <f t="shared" si="11"/>
        <v>-0.11173683070203358</v>
      </c>
      <c r="J81" s="30">
        <f t="shared" si="12"/>
        <v>8.9184207675512356E-2</v>
      </c>
      <c r="K81" s="31">
        <f t="shared" si="13"/>
        <v>1.0000000000000009E-2</v>
      </c>
      <c r="L81" s="32">
        <f t="shared" si="14"/>
        <v>-1.4638818357372435E-3</v>
      </c>
      <c r="M81" s="32">
        <f t="shared" si="15"/>
        <v>6.7499294684835592E-4</v>
      </c>
      <c r="N81" s="30">
        <f t="shared" si="16"/>
        <v>2.0092103837754611E-3</v>
      </c>
      <c r="O81" s="30">
        <f t="shared" si="17"/>
        <v>1.0337080569632467E-4</v>
      </c>
    </row>
    <row r="82" spans="1:15" ht="19.05" customHeight="1" x14ac:dyDescent="0.3">
      <c r="A82" s="7">
        <v>77</v>
      </c>
      <c r="B82" s="10">
        <v>0.76</v>
      </c>
      <c r="C82" s="13">
        <v>4.2934953038867102E-2</v>
      </c>
      <c r="D82" s="13">
        <v>-1.733495303886709E-2</v>
      </c>
      <c r="E82" s="16">
        <v>101264.9478029216</v>
      </c>
      <c r="F82" s="16">
        <v>101373.0880492696</v>
      </c>
      <c r="G82" s="30">
        <f t="shared" si="9"/>
        <v>-0.10893822599256775</v>
      </c>
      <c r="H82" s="30">
        <f t="shared" si="10"/>
        <v>8.7234556498143254E-2</v>
      </c>
      <c r="I82" s="30">
        <f t="shared" si="11"/>
        <v>-0.10619121722457561</v>
      </c>
      <c r="J82" s="30">
        <f t="shared" si="12"/>
        <v>8.5297804306139285E-2</v>
      </c>
      <c r="K82" s="31">
        <f t="shared" si="13"/>
        <v>1.0000000000000009E-2</v>
      </c>
      <c r="L82" s="32">
        <f t="shared" si="14"/>
        <v>-1.4892081430193868E-3</v>
      </c>
      <c r="M82" s="32">
        <f t="shared" si="15"/>
        <v>6.7809703190827714E-4</v>
      </c>
      <c r="N82" s="30">
        <f t="shared" si="16"/>
        <v>1.9148902153071506E-3</v>
      </c>
      <c r="O82" s="30">
        <f t="shared" si="17"/>
        <v>1.0030063747969246E-4</v>
      </c>
    </row>
    <row r="83" spans="1:15" ht="19.05" customHeight="1" x14ac:dyDescent="0.3">
      <c r="A83" s="7">
        <v>78</v>
      </c>
      <c r="B83" s="10">
        <v>0.77</v>
      </c>
      <c r="C83" s="13">
        <v>4.1445744895847715E-2</v>
      </c>
      <c r="D83" s="13">
        <v>-1.6656856006958813E-2</v>
      </c>
      <c r="E83" s="16">
        <v>101267.97638008831</v>
      </c>
      <c r="F83" s="16">
        <v>101370.95277997792</v>
      </c>
      <c r="G83" s="30">
        <f t="shared" si="9"/>
        <v>-0.10344420845658348</v>
      </c>
      <c r="H83" s="30">
        <f t="shared" si="10"/>
        <v>8.3361052114135303E-2</v>
      </c>
      <c r="I83" s="30">
        <f t="shared" si="11"/>
        <v>-0.10074730832767229</v>
      </c>
      <c r="J83" s="30">
        <f t="shared" si="12"/>
        <v>8.1436827081908164E-2</v>
      </c>
      <c r="K83" s="31">
        <f t="shared" si="13"/>
        <v>1.0000000000000009E-2</v>
      </c>
      <c r="L83" s="32">
        <f t="shared" si="14"/>
        <v>-1.5145216949057003E-3</v>
      </c>
      <c r="M83" s="32">
        <f t="shared" si="15"/>
        <v>6.8118836157236157E-4</v>
      </c>
      <c r="N83" s="30">
        <f t="shared" si="16"/>
        <v>1.8218413540958061E-3</v>
      </c>
      <c r="O83" s="30">
        <f t="shared" si="17"/>
        <v>9.7110165354036653E-5</v>
      </c>
    </row>
    <row r="84" spans="1:15" ht="19.05" customHeight="1" x14ac:dyDescent="0.3">
      <c r="A84" s="7">
        <v>79</v>
      </c>
      <c r="B84" s="10">
        <v>0.78</v>
      </c>
      <c r="C84" s="13">
        <v>3.9931223200942015E-2</v>
      </c>
      <c r="D84" s="13">
        <v>-1.5975667645386452E-2</v>
      </c>
      <c r="E84" s="16">
        <v>101270.94971248043</v>
      </c>
      <c r="F84" s="16">
        <v>101368.83132187989</v>
      </c>
      <c r="G84" s="30">
        <f t="shared" si="9"/>
        <v>-9.805040819876111E-2</v>
      </c>
      <c r="H84" s="30">
        <f t="shared" si="10"/>
        <v>7.9512602049681039E-2</v>
      </c>
      <c r="I84" s="30">
        <f t="shared" si="11"/>
        <v>-9.5402191455376734E-2</v>
      </c>
      <c r="J84" s="30">
        <f t="shared" si="12"/>
        <v>7.7600547863838909E-2</v>
      </c>
      <c r="K84" s="31">
        <f t="shared" si="13"/>
        <v>1.0000000000000009E-2</v>
      </c>
      <c r="L84" s="32">
        <f t="shared" si="14"/>
        <v>-1.5398415804821278E-3</v>
      </c>
      <c r="M84" s="32">
        <f t="shared" si="15"/>
        <v>6.8428602492656525E-4</v>
      </c>
      <c r="N84" s="30">
        <f t="shared" si="16"/>
        <v>1.730027393192158E-3</v>
      </c>
      <c r="O84" s="30">
        <f t="shared" si="17"/>
        <v>9.3803290842235871E-5</v>
      </c>
    </row>
    <row r="85" spans="1:15" ht="19.05" customHeight="1" x14ac:dyDescent="0.3">
      <c r="A85" s="7">
        <v>80</v>
      </c>
      <c r="B85" s="10">
        <v>0.79</v>
      </c>
      <c r="C85" s="13">
        <v>3.8391381620459887E-2</v>
      </c>
      <c r="D85" s="13">
        <v>-1.5291381620459886E-2</v>
      </c>
      <c r="E85" s="16">
        <v>101273.86937144001</v>
      </c>
      <c r="F85" s="16">
        <v>101366.72328214</v>
      </c>
      <c r="G85" s="30">
        <f t="shared" si="9"/>
        <v>-9.2753974711992343E-2</v>
      </c>
      <c r="H85" s="30">
        <f t="shared" si="10"/>
        <v>7.5688493677996765E-2</v>
      </c>
      <c r="I85" s="30">
        <f t="shared" si="11"/>
        <v>-9.0153074807837463E-2</v>
      </c>
      <c r="J85" s="30">
        <f t="shared" si="12"/>
        <v>7.3788268701965309E-2</v>
      </c>
      <c r="K85" s="31">
        <f t="shared" si="13"/>
        <v>1.0000000000000009E-2</v>
      </c>
      <c r="L85" s="32">
        <f t="shared" si="14"/>
        <v>-1.5651867046237652E-3</v>
      </c>
      <c r="M85" s="32">
        <f t="shared" si="15"/>
        <v>6.8740892684598758E-4</v>
      </c>
      <c r="N85" s="30">
        <f t="shared" si="16"/>
        <v>1.6394134350980292E-3</v>
      </c>
      <c r="O85" s="30">
        <f t="shared" si="17"/>
        <v>9.0383679467937567E-5</v>
      </c>
    </row>
    <row r="86" spans="1:15" ht="19.05" customHeight="1" x14ac:dyDescent="0.3">
      <c r="A86" s="7">
        <v>81</v>
      </c>
      <c r="B86" s="10">
        <v>0.8</v>
      </c>
      <c r="C86" s="13">
        <v>3.6826194915836122E-2</v>
      </c>
      <c r="D86" s="13">
        <v>-1.4603972693613899E-2</v>
      </c>
      <c r="E86" s="16">
        <v>101276.73686358434</v>
      </c>
      <c r="F86" s="16">
        <v>101364.62828410392</v>
      </c>
      <c r="G86" s="30">
        <f t="shared" si="9"/>
        <v>-8.7552174903682584E-2</v>
      </c>
      <c r="H86" s="30">
        <f t="shared" si="10"/>
        <v>7.188804372593384E-2</v>
      </c>
      <c r="I86" s="30">
        <f t="shared" si="11"/>
        <v>-8.4997280876921988E-2</v>
      </c>
      <c r="J86" s="30">
        <f t="shared" si="12"/>
        <v>6.9999320219234454E-2</v>
      </c>
      <c r="K86" s="31">
        <f t="shared" si="13"/>
        <v>1.0000000000000009E-2</v>
      </c>
      <c r="L86" s="32">
        <f t="shared" si="14"/>
        <v>-1.5905757983250626E-3</v>
      </c>
      <c r="M86" s="32">
        <f t="shared" si="15"/>
        <v>6.905757983250594E-4</v>
      </c>
      <c r="N86" s="30">
        <f t="shared" si="16"/>
        <v>1.5499660109615657E-3</v>
      </c>
      <c r="O86" s="30">
        <f t="shared" si="17"/>
        <v>8.6854781443660451E-5</v>
      </c>
    </row>
    <row r="87" spans="1:15" ht="19.05" customHeight="1" x14ac:dyDescent="0.3">
      <c r="A87" s="7">
        <v>82</v>
      </c>
      <c r="B87" s="10">
        <v>0.81</v>
      </c>
      <c r="C87" s="13">
        <v>3.5235619117511059E-2</v>
      </c>
      <c r="D87" s="13">
        <v>-1.3913396895288839E-2</v>
      </c>
      <c r="E87" s="16">
        <v>101279.55363424885</v>
      </c>
      <c r="F87" s="16">
        <v>101362.54596643778</v>
      </c>
      <c r="G87" s="30">
        <f t="shared" si="9"/>
        <v>-8.2442386850161378E-2</v>
      </c>
      <c r="H87" s="30">
        <f t="shared" si="10"/>
        <v>6.8110596712535068E-2</v>
      </c>
      <c r="I87" s="30">
        <f t="shared" si="11"/>
        <v>-7.9932240402888793E-2</v>
      </c>
      <c r="J87" s="30">
        <f t="shared" si="12"/>
        <v>6.6233060100720886E-2</v>
      </c>
      <c r="K87" s="31">
        <f t="shared" si="13"/>
        <v>9.9999999999998979E-3</v>
      </c>
      <c r="L87" s="32">
        <f t="shared" si="14"/>
        <v>-1.6160274283311404E-3</v>
      </c>
      <c r="M87" s="32">
        <f t="shared" si="15"/>
        <v>6.9380520610893073E-4</v>
      </c>
      <c r="N87" s="30">
        <f t="shared" si="16"/>
        <v>1.4616530050360818E-3</v>
      </c>
      <c r="O87" s="30">
        <f t="shared" si="17"/>
        <v>8.3219850984621004E-5</v>
      </c>
    </row>
    <row r="88" spans="1:15" ht="19.05" customHeight="1" x14ac:dyDescent="0.3">
      <c r="A88" s="7">
        <v>83</v>
      </c>
      <c r="B88" s="10">
        <v>0.82</v>
      </c>
      <c r="C88" s="13">
        <v>3.3619591689179919E-2</v>
      </c>
      <c r="D88" s="13">
        <v>-1.3219591689179909E-2</v>
      </c>
      <c r="E88" s="16">
        <v>101282.32107070697</v>
      </c>
      <c r="F88" s="16">
        <v>101360.47598232326</v>
      </c>
      <c r="G88" s="30">
        <f t="shared" si="9"/>
        <v>-7.7422093955616209E-2</v>
      </c>
      <c r="H88" s="30">
        <f t="shared" si="10"/>
        <v>6.4355523488906691E-2</v>
      </c>
      <c r="I88" s="30">
        <f t="shared" si="11"/>
        <v>-7.4955486720126932E-2</v>
      </c>
      <c r="J88" s="30">
        <f t="shared" si="12"/>
        <v>6.2488871680038333E-2</v>
      </c>
      <c r="K88" s="31">
        <f t="shared" si="13"/>
        <v>1.0000000000000009E-2</v>
      </c>
      <c r="L88" s="32">
        <f t="shared" si="14"/>
        <v>-1.6415600061256211E-3</v>
      </c>
      <c r="M88" s="32">
        <f t="shared" si="15"/>
        <v>6.9711556168116674E-4</v>
      </c>
      <c r="N88" s="30">
        <f t="shared" si="16"/>
        <v>1.374443584001654E-3</v>
      </c>
      <c r="O88" s="30">
        <f t="shared" si="17"/>
        <v>7.9481964359388196E-5</v>
      </c>
    </row>
    <row r="89" spans="1:15" ht="19.05" customHeight="1" x14ac:dyDescent="0.3">
      <c r="A89" s="7">
        <v>84</v>
      </c>
      <c r="B89" s="10">
        <v>0.83</v>
      </c>
      <c r="C89" s="13">
        <v>3.1978031683054298E-2</v>
      </c>
      <c r="D89" s="13">
        <v>-1.2522476127498742E-2</v>
      </c>
      <c r="E89" s="16">
        <v>101285.04050518409</v>
      </c>
      <c r="F89" s="16">
        <v>101358.41799870398</v>
      </c>
      <c r="G89" s="30">
        <f t="shared" si="9"/>
        <v>-7.2488879484637656E-2</v>
      </c>
      <c r="H89" s="30">
        <f t="shared" si="10"/>
        <v>6.0622219871169974E-2</v>
      </c>
      <c r="I89" s="30">
        <f t="shared" si="11"/>
        <v>-7.0064650462476258E-2</v>
      </c>
      <c r="J89" s="30">
        <f t="shared" si="12"/>
        <v>5.8766162615623688E-2</v>
      </c>
      <c r="K89" s="31">
        <f t="shared" si="13"/>
        <v>1.0000000000000009E-2</v>
      </c>
      <c r="L89" s="32">
        <f t="shared" si="14"/>
        <v>-1.6671917963231829E-3</v>
      </c>
      <c r="M89" s="32">
        <f t="shared" si="15"/>
        <v>7.0052512965652902E-4</v>
      </c>
      <c r="N89" s="30">
        <f t="shared" si="16"/>
        <v>1.2883081307810008E-3</v>
      </c>
      <c r="O89" s="30">
        <f t="shared" si="17"/>
        <v>7.5644036777565269E-5</v>
      </c>
    </row>
    <row r="90" spans="1:15" ht="19.05" customHeight="1" x14ac:dyDescent="0.3">
      <c r="A90" s="7">
        <v>85</v>
      </c>
      <c r="B90" s="10">
        <v>0.84</v>
      </c>
      <c r="C90" s="13">
        <v>3.0310839886731115E-2</v>
      </c>
      <c r="D90" s="13">
        <v>-1.1821950997842213E-2</v>
      </c>
      <c r="E90" s="16">
        <v>101287.71321768103</v>
      </c>
      <c r="F90" s="16">
        <v>101356.37169557974</v>
      </c>
      <c r="G90" s="30">
        <f t="shared" si="9"/>
        <v>-6.764042144031486E-2</v>
      </c>
      <c r="H90" s="30">
        <f t="shared" si="10"/>
        <v>5.6910105360077394E-2</v>
      </c>
      <c r="I90" s="30">
        <f t="shared" si="11"/>
        <v>-6.5257454601281739E-2</v>
      </c>
      <c r="J90" s="30">
        <f t="shared" si="12"/>
        <v>5.5064363650319775E-2</v>
      </c>
      <c r="K90" s="31">
        <f t="shared" si="13"/>
        <v>1.0000000000000009E-2</v>
      </c>
      <c r="L90" s="32">
        <f t="shared" si="14"/>
        <v>-1.6929409245156103E-3</v>
      </c>
      <c r="M90" s="32">
        <f t="shared" si="15"/>
        <v>7.0405203562671874E-4</v>
      </c>
      <c r="N90" s="30">
        <f t="shared" si="16"/>
        <v>1.2032181825160162E-3</v>
      </c>
      <c r="O90" s="30">
        <f t="shared" si="17"/>
        <v>7.1708838205731832E-5</v>
      </c>
    </row>
    <row r="91" spans="1:15" ht="19.05" customHeight="1" x14ac:dyDescent="0.3">
      <c r="A91" s="7">
        <v>86</v>
      </c>
      <c r="B91" s="10">
        <v>0.85</v>
      </c>
      <c r="C91" s="13">
        <v>2.8617898962215504E-2</v>
      </c>
      <c r="D91" s="13">
        <v>-1.1117898962215494E-2</v>
      </c>
      <c r="E91" s="16">
        <v>101290.34043862106</v>
      </c>
      <c r="F91" s="16">
        <v>101354.33676534473</v>
      </c>
      <c r="G91" s="30">
        <f t="shared" si="9"/>
        <v>-6.2874487762248604E-2</v>
      </c>
      <c r="H91" s="30">
        <f t="shared" si="10"/>
        <v>5.321862194056215E-2</v>
      </c>
      <c r="I91" s="30">
        <f t="shared" si="11"/>
        <v>-6.0531709791671134E-2</v>
      </c>
      <c r="J91" s="30">
        <f t="shared" si="12"/>
        <v>5.1382927447921743E-2</v>
      </c>
      <c r="K91" s="31">
        <f t="shared" si="13"/>
        <v>1.0000000000000009E-2</v>
      </c>
      <c r="L91" s="32">
        <f t="shared" si="14"/>
        <v>-1.7188253846106248E-3</v>
      </c>
      <c r="M91" s="32">
        <f t="shared" si="15"/>
        <v>7.0771427349951462E-4</v>
      </c>
      <c r="N91" s="30">
        <f t="shared" si="16"/>
        <v>1.1191463723959297E-3</v>
      </c>
      <c r="O91" s="30">
        <f t="shared" si="17"/>
        <v>6.7679008194723654E-5</v>
      </c>
    </row>
    <row r="92" spans="1:15" ht="19.05" customHeight="1" x14ac:dyDescent="0.3">
      <c r="A92" s="7">
        <v>87</v>
      </c>
      <c r="B92" s="10">
        <v>0.86</v>
      </c>
      <c r="C92" s="13">
        <v>2.689907357760488E-2</v>
      </c>
      <c r="D92" s="13">
        <v>-1.0410184688715979E-2</v>
      </c>
      <c r="E92" s="16">
        <v>101292.92335133362</v>
      </c>
      <c r="F92" s="16">
        <v>101352.3129121666</v>
      </c>
      <c r="G92" s="30">
        <f t="shared" si="9"/>
        <v>-5.8188931821093658E-2</v>
      </c>
      <c r="H92" s="30">
        <f t="shared" si="10"/>
        <v>4.9547232955281337E-2</v>
      </c>
      <c r="I92" s="30">
        <f t="shared" si="11"/>
        <v>-5.5885310004604664E-2</v>
      </c>
      <c r="J92" s="30">
        <f t="shared" si="12"/>
        <v>4.7721327501156444E-2</v>
      </c>
      <c r="K92" s="31">
        <f t="shared" si="13"/>
        <v>1.0000000000000009E-2</v>
      </c>
      <c r="L92" s="32">
        <f t="shared" si="14"/>
        <v>-1.7448630457029719E-3</v>
      </c>
      <c r="M92" s="32">
        <f t="shared" si="15"/>
        <v>7.115297123696275E-4</v>
      </c>
      <c r="N92" s="30">
        <f t="shared" si="16"/>
        <v>1.0360663750576119E-3</v>
      </c>
      <c r="O92" s="30">
        <f t="shared" si="17"/>
        <v>6.3557069793894624E-5</v>
      </c>
    </row>
    <row r="93" spans="1:15" ht="19.05" customHeight="1" x14ac:dyDescent="0.3">
      <c r="A93" s="7">
        <v>88</v>
      </c>
      <c r="B93" s="10">
        <v>0.87</v>
      </c>
      <c r="C93" s="13">
        <v>2.5154210531901908E-2</v>
      </c>
      <c r="D93" s="13">
        <v>-9.698654976346352E-3</v>
      </c>
      <c r="E93" s="16">
        <v>101295.4630943863</v>
      </c>
      <c r="F93" s="16">
        <v>101350.29985140343</v>
      </c>
      <c r="G93" s="30">
        <f t="shared" si="9"/>
        <v>-5.3581688188115671E-2</v>
      </c>
      <c r="H93" s="30">
        <f t="shared" si="10"/>
        <v>4.5895422047031557E-2</v>
      </c>
      <c r="I93" s="30">
        <f t="shared" si="11"/>
        <v>-5.1316228424119203E-2</v>
      </c>
      <c r="J93" s="30">
        <f t="shared" si="12"/>
        <v>4.4079057106026498E-2</v>
      </c>
      <c r="K93" s="31">
        <f t="shared" si="13"/>
        <v>1.0000000000000009E-2</v>
      </c>
      <c r="L93" s="32">
        <f t="shared" si="14"/>
        <v>-1.771071658512792E-3</v>
      </c>
      <c r="M93" s="32">
        <f t="shared" si="15"/>
        <v>7.1551610295724453E-4</v>
      </c>
      <c r="N93" s="30">
        <f t="shared" si="16"/>
        <v>9.539528553014579E-4</v>
      </c>
      <c r="O93" s="30">
        <f t="shared" si="17"/>
        <v>5.9345442621192155E-5</v>
      </c>
    </row>
    <row r="94" spans="1:15" ht="19.05" customHeight="1" x14ac:dyDescent="0.3">
      <c r="A94" s="7">
        <v>89</v>
      </c>
      <c r="B94" s="10">
        <v>0.88</v>
      </c>
      <c r="C94" s="13">
        <v>2.3383138873389116E-2</v>
      </c>
      <c r="D94" s="13">
        <v>-8.9831388733891075E-3</v>
      </c>
      <c r="E94" s="16">
        <v>101297.96076377611</v>
      </c>
      <c r="F94" s="16">
        <v>101348.29730905597</v>
      </c>
      <c r="G94" s="30">
        <f t="shared" si="9"/>
        <v>-4.9050768660122736E-2</v>
      </c>
      <c r="H94" s="30">
        <f t="shared" si="10"/>
        <v>4.2262692165021445E-2</v>
      </c>
      <c r="I94" s="30">
        <f t="shared" si="11"/>
        <v>-4.682251359073418E-2</v>
      </c>
      <c r="J94" s="30">
        <f t="shared" si="12"/>
        <v>4.045562839767497E-2</v>
      </c>
      <c r="K94" s="31">
        <f t="shared" si="13"/>
        <v>1.0000000000000009E-2</v>
      </c>
      <c r="L94" s="32">
        <f t="shared" si="14"/>
        <v>-1.7974688614216597E-3</v>
      </c>
      <c r="M94" s="32">
        <f t="shared" si="15"/>
        <v>7.1969108364387628E-4</v>
      </c>
      <c r="N94" s="30">
        <f t="shared" si="16"/>
        <v>8.7278141988409222E-4</v>
      </c>
      <c r="O94" s="30">
        <f t="shared" si="17"/>
        <v>5.5046455151820477E-5</v>
      </c>
    </row>
    <row r="95" spans="1:15" ht="19.05" customHeight="1" x14ac:dyDescent="0.3">
      <c r="A95" s="7">
        <v>90</v>
      </c>
      <c r="B95" s="10">
        <v>0.89</v>
      </c>
      <c r="C95" s="13">
        <v>2.1585670011967456E-2</v>
      </c>
      <c r="D95" s="13">
        <v>-8.2634477897452312E-3</v>
      </c>
      <c r="E95" s="16">
        <v>101300.41741499011</v>
      </c>
      <c r="F95" s="16">
        <v>101346.30502125247</v>
      </c>
      <c r="G95" s="30">
        <f t="shared" si="9"/>
        <v>-4.4594258521345617E-2</v>
      </c>
      <c r="H95" s="30">
        <f t="shared" si="10"/>
        <v>3.8648564630328487E-2</v>
      </c>
      <c r="I95" s="30">
        <f t="shared" si="11"/>
        <v>-4.240228577382079E-2</v>
      </c>
      <c r="J95" s="30">
        <f t="shared" si="12"/>
        <v>3.6850571443454536E-2</v>
      </c>
      <c r="K95" s="31">
        <f t="shared" si="13"/>
        <v>1.0000000000000009E-2</v>
      </c>
      <c r="L95" s="32">
        <f t="shared" si="14"/>
        <v>-1.8240721861378546E-3</v>
      </c>
      <c r="M95" s="32">
        <f t="shared" si="15"/>
        <v>7.2407218613785088E-4</v>
      </c>
      <c r="N95" s="30">
        <f t="shared" si="16"/>
        <v>7.9252857217275386E-4</v>
      </c>
      <c r="O95" s="30">
        <f t="shared" si="17"/>
        <v>5.0662356283204162E-5</v>
      </c>
    </row>
    <row r="96" spans="1:15" ht="19.05" customHeight="1" x14ac:dyDescent="0.3">
      <c r="A96" s="7">
        <v>91</v>
      </c>
      <c r="B96" s="10">
        <v>0.9</v>
      </c>
      <c r="C96" s="13">
        <v>1.9761597825829601E-2</v>
      </c>
      <c r="D96" s="13">
        <v>-7.5393756036073803E-3</v>
      </c>
      <c r="E96" s="16">
        <v>101302.83406494425</v>
      </c>
      <c r="F96" s="16">
        <v>101344.32273376394</v>
      </c>
      <c r="G96" s="30">
        <f t="shared" si="9"/>
        <v>-4.0210313026295963E-2</v>
      </c>
      <c r="H96" s="30">
        <f t="shared" si="10"/>
        <v>3.5052578256580591E-2</v>
      </c>
      <c r="I96" s="30">
        <f t="shared" si="11"/>
        <v>-3.8053733556937371E-2</v>
      </c>
      <c r="J96" s="30">
        <f t="shared" si="12"/>
        <v>3.3263433389241606E-2</v>
      </c>
      <c r="K96" s="31">
        <f t="shared" si="13"/>
        <v>1.0000000000000009E-2</v>
      </c>
      <c r="L96" s="32">
        <f t="shared" si="14"/>
        <v>-1.8508990630149193E-3</v>
      </c>
      <c r="M96" s="32">
        <f t="shared" si="15"/>
        <v>7.2867684079269864E-4</v>
      </c>
      <c r="N96" s="30">
        <f t="shared" si="16"/>
        <v>7.1317166946179044E-4</v>
      </c>
      <c r="O96" s="30">
        <f t="shared" si="17"/>
        <v>4.6195326228763839E-5</v>
      </c>
    </row>
    <row r="97" spans="1:15" ht="19.05" customHeight="1" x14ac:dyDescent="0.3">
      <c r="A97" s="7">
        <v>92</v>
      </c>
      <c r="B97" s="10">
        <v>0.91</v>
      </c>
      <c r="C97" s="13">
        <v>1.7910698762814682E-2</v>
      </c>
      <c r="D97" s="13">
        <v>-6.8106987628146817E-3</v>
      </c>
      <c r="E97" s="16">
        <v>101305.21169380922</v>
      </c>
      <c r="F97" s="16">
        <v>101342.3502015477</v>
      </c>
      <c r="G97" s="30">
        <f t="shared" si="9"/>
        <v>-3.5897154087578778E-2</v>
      </c>
      <c r="H97" s="30">
        <f t="shared" si="10"/>
        <v>3.1474288521902614E-2</v>
      </c>
      <c r="I97" s="30">
        <f t="shared" si="11"/>
        <v>-3.3775110621347942E-2</v>
      </c>
      <c r="J97" s="30">
        <f t="shared" si="12"/>
        <v>2.9693777655338968E-2</v>
      </c>
      <c r="K97" s="31">
        <f t="shared" si="13"/>
        <v>1.0000000000000009E-2</v>
      </c>
      <c r="L97" s="32">
        <f t="shared" si="14"/>
        <v>-1.8779668260513332E-3</v>
      </c>
      <c r="M97" s="32">
        <f t="shared" si="15"/>
        <v>7.3352238160688879E-4</v>
      </c>
      <c r="N97" s="30">
        <f t="shared" si="16"/>
        <v>6.346888827668697E-4</v>
      </c>
      <c r="O97" s="30">
        <f t="shared" si="17"/>
        <v>4.1647486788455807E-5</v>
      </c>
    </row>
    <row r="98" spans="1:15" ht="19.05" customHeight="1" x14ac:dyDescent="0.3">
      <c r="A98" s="7">
        <v>93</v>
      </c>
      <c r="B98" s="10">
        <v>0.92</v>
      </c>
      <c r="C98" s="13">
        <v>1.6032731936763349E-2</v>
      </c>
      <c r="D98" s="13">
        <v>-6.0771763812077929E-3</v>
      </c>
      <c r="E98" s="16">
        <v>101307.55124673074</v>
      </c>
      <c r="F98" s="16">
        <v>101340.38718831731</v>
      </c>
      <c r="G98" s="30">
        <f t="shared" si="9"/>
        <v>-3.1653067155117107E-2</v>
      </c>
      <c r="H98" s="30">
        <f t="shared" si="10"/>
        <v>2.7913266788775318E-2</v>
      </c>
      <c r="I98" s="30">
        <f t="shared" si="11"/>
        <v>-2.956473271435342E-2</v>
      </c>
      <c r="J98" s="30">
        <f t="shared" si="12"/>
        <v>2.6141183178588358E-2</v>
      </c>
      <c r="K98" s="31">
        <f t="shared" si="13"/>
        <v>1.0000000000000009E-2</v>
      </c>
      <c r="L98" s="32">
        <f t="shared" si="14"/>
        <v>-1.9052927175904257E-3</v>
      </c>
      <c r="M98" s="32">
        <f t="shared" si="15"/>
        <v>7.3862605092375397E-4</v>
      </c>
      <c r="N98" s="30">
        <f t="shared" si="16"/>
        <v>5.5705915892941828E-4</v>
      </c>
      <c r="O98" s="30">
        <f t="shared" si="17"/>
        <v>3.7020911040489801E-5</v>
      </c>
    </row>
    <row r="99" spans="1:15" ht="19.05" customHeight="1" x14ac:dyDescent="0.3">
      <c r="A99" s="7">
        <v>94</v>
      </c>
      <c r="B99" s="10">
        <v>0.93</v>
      </c>
      <c r="C99" s="13">
        <v>1.4127439219172923E-2</v>
      </c>
      <c r="D99" s="13">
        <v>-5.3385503302840389E-3</v>
      </c>
      <c r="E99" s="16">
        <v>101309.85363545168</v>
      </c>
      <c r="F99" s="16">
        <v>101338.43346613708</v>
      </c>
      <c r="G99" s="30">
        <f t="shared" si="9"/>
        <v>-2.7476398273589737E-2</v>
      </c>
      <c r="H99" s="30">
        <f t="shared" si="10"/>
        <v>2.4369099568401394E-2</v>
      </c>
      <c r="I99" s="30">
        <f t="shared" si="11"/>
        <v>-2.5420974789817169E-2</v>
      </c>
      <c r="J99" s="30">
        <f t="shared" si="12"/>
        <v>2.2605243697458914E-2</v>
      </c>
      <c r="K99" s="31">
        <f t="shared" si="13"/>
        <v>9.9999999999998979E-3</v>
      </c>
      <c r="L99" s="32">
        <f t="shared" si="14"/>
        <v>-1.9328938927439913E-3</v>
      </c>
      <c r="M99" s="32">
        <f t="shared" si="15"/>
        <v>7.4400500385510965E-4</v>
      </c>
      <c r="N99" s="30">
        <f t="shared" si="16"/>
        <v>4.802621848727559E-4</v>
      </c>
      <c r="O99" s="30">
        <f t="shared" si="17"/>
        <v>3.2317632494562959E-5</v>
      </c>
    </row>
    <row r="100" spans="1:15" ht="19.05" customHeight="1" x14ac:dyDescent="0.3">
      <c r="A100" s="7">
        <v>95</v>
      </c>
      <c r="B100" s="10">
        <v>0.94</v>
      </c>
      <c r="C100" s="13">
        <v>1.2194545326428932E-2</v>
      </c>
      <c r="D100" s="13">
        <v>-4.5945453264289293E-3</v>
      </c>
      <c r="E100" s="16">
        <v>101312.11973984254</v>
      </c>
      <c r="F100" s="16">
        <v>101336.48881503937</v>
      </c>
      <c r="G100" s="30">
        <f t="shared" si="9"/>
        <v>-2.3365551306044601E-2</v>
      </c>
      <c r="H100" s="30">
        <f t="shared" si="10"/>
        <v>2.0841387826516431E-2</v>
      </c>
      <c r="I100" s="30">
        <f t="shared" si="11"/>
        <v>-2.1342268309480977E-2</v>
      </c>
      <c r="J100" s="30">
        <f t="shared" si="12"/>
        <v>1.9085567077379482E-2</v>
      </c>
      <c r="K100" s="31">
        <f t="shared" si="13"/>
        <v>1.0000000000000009E-2</v>
      </c>
      <c r="L100" s="32">
        <f t="shared" si="14"/>
        <v>-1.9607874235576302E-3</v>
      </c>
      <c r="M100" s="32">
        <f t="shared" si="15"/>
        <v>7.4967631244651648E-4</v>
      </c>
      <c r="N100" s="30">
        <f t="shared" si="16"/>
        <v>4.0427835386860493E-4</v>
      </c>
      <c r="O100" s="30">
        <f t="shared" si="17"/>
        <v>2.7539653743902378E-5</v>
      </c>
    </row>
    <row r="101" spans="1:15" ht="19.05" customHeight="1" x14ac:dyDescent="0.3">
      <c r="A101" s="7">
        <v>96</v>
      </c>
      <c r="B101" s="10">
        <v>0.95</v>
      </c>
      <c r="C101" s="13">
        <v>1.0233757902871302E-2</v>
      </c>
      <c r="D101" s="13">
        <v>-3.8448690139824128E-3</v>
      </c>
      <c r="E101" s="16">
        <v>101314.35040934625</v>
      </c>
      <c r="F101" s="16">
        <v>101334.55302266344</v>
      </c>
      <c r="G101" s="30">
        <f t="shared" si="9"/>
        <v>-1.9318985312917352E-2</v>
      </c>
      <c r="H101" s="30">
        <f t="shared" si="10"/>
        <v>1.7329746328242537E-2</v>
      </c>
      <c r="I101" s="30">
        <f t="shared" si="11"/>
        <v>-1.7327098694499034E-2</v>
      </c>
      <c r="J101" s="30">
        <f t="shared" si="12"/>
        <v>1.5581774673635317E-2</v>
      </c>
      <c r="K101" s="31">
        <f t="shared" si="13"/>
        <v>1.0000000000000009E-2</v>
      </c>
      <c r="L101" s="32">
        <f t="shared" si="14"/>
        <v>-1.9889903029354124E-3</v>
      </c>
      <c r="M101" s="32">
        <f t="shared" si="15"/>
        <v>7.5565696960208E-4</v>
      </c>
      <c r="N101" s="30">
        <f t="shared" si="16"/>
        <v>3.2908873368134376E-4</v>
      </c>
      <c r="O101" s="30">
        <f t="shared" si="17"/>
        <v>2.268895465046172E-5</v>
      </c>
    </row>
    <row r="102" spans="1:15" ht="19.05" customHeight="1" x14ac:dyDescent="0.3">
      <c r="A102" s="7">
        <v>97</v>
      </c>
      <c r="B102" s="10">
        <v>0.96</v>
      </c>
      <c r="C102" s="13">
        <v>8.2447675999358892E-3</v>
      </c>
      <c r="D102" s="13">
        <v>-3.0892120443803328E-3</v>
      </c>
      <c r="E102" s="16">
        <v>101316.54646434306</v>
      </c>
      <c r="F102" s="16">
        <v>101332.62588391424</v>
      </c>
      <c r="G102" s="30">
        <f t="shared" si="9"/>
        <v>-1.5335212076080714E-2</v>
      </c>
      <c r="H102" s="30">
        <f t="shared" si="10"/>
        <v>1.3833803019028097E-2</v>
      </c>
      <c r="I102" s="30">
        <f t="shared" si="11"/>
        <v>-1.3374002917171847E-2</v>
      </c>
      <c r="J102" s="30">
        <f t="shared" si="12"/>
        <v>1.209350072929494E-2</v>
      </c>
      <c r="K102" s="31">
        <f t="shared" si="13"/>
        <v>1.0000000000000009E-2</v>
      </c>
      <c r="L102" s="32">
        <f t="shared" si="14"/>
        <v>-2.0175194483400914E-3</v>
      </c>
      <c r="M102" s="32">
        <f t="shared" si="15"/>
        <v>7.6196389278453732E-4</v>
      </c>
      <c r="N102" s="30">
        <f t="shared" si="16"/>
        <v>2.5467503646466809E-4</v>
      </c>
      <c r="O102" s="30">
        <f t="shared" si="17"/>
        <v>1.7767500094465101E-5</v>
      </c>
    </row>
    <row r="103" spans="1:15" ht="19.05" customHeight="1" x14ac:dyDescent="0.3">
      <c r="A103" s="7">
        <v>98</v>
      </c>
      <c r="B103" s="10">
        <v>0.97</v>
      </c>
      <c r="C103" s="13">
        <v>6.2272481515957979E-3</v>
      </c>
      <c r="D103" s="13">
        <v>-2.3272481515957955E-3</v>
      </c>
      <c r="E103" s="16">
        <v>101318.70869744076</v>
      </c>
      <c r="F103" s="16">
        <v>101330.70720063981</v>
      </c>
      <c r="G103" s="30">
        <f t="shared" si="9"/>
        <v>-1.1412793758262979E-2</v>
      </c>
      <c r="H103" s="30">
        <f t="shared" si="10"/>
        <v>1.0353198439561785E-2</v>
      </c>
      <c r="I103" s="30">
        <f t="shared" si="11"/>
        <v>-9.4815672239311928E-3</v>
      </c>
      <c r="J103" s="30">
        <f t="shared" si="12"/>
        <v>8.6203918059761988E-3</v>
      </c>
      <c r="K103" s="31">
        <f t="shared" si="13"/>
        <v>1.0000000000000009E-2</v>
      </c>
      <c r="L103" s="32">
        <f t="shared" si="14"/>
        <v>-2.0463917052844557E-3</v>
      </c>
      <c r="M103" s="32">
        <f t="shared" si="15"/>
        <v>7.6861392750668302E-4</v>
      </c>
      <c r="N103" s="30">
        <f t="shared" si="16"/>
        <v>1.8101959029907406E-4</v>
      </c>
      <c r="O103" s="30">
        <f t="shared" si="17"/>
        <v>1.2777247317511963E-5</v>
      </c>
    </row>
    <row r="104" spans="1:15" ht="19.05" customHeight="1" x14ac:dyDescent="0.3">
      <c r="A104" s="7">
        <v>99</v>
      </c>
      <c r="B104" s="10">
        <v>0.98</v>
      </c>
      <c r="C104" s="13">
        <v>4.1808564463113422E-3</v>
      </c>
      <c r="D104" s="13">
        <v>-1.5586342240891124E-3</v>
      </c>
      <c r="E104" s="16">
        <v>101320.83787469486</v>
      </c>
      <c r="F104" s="16">
        <v>101328.79678132628</v>
      </c>
      <c r="G104" s="30">
        <f t="shared" si="9"/>
        <v>-7.5503406895994045E-3</v>
      </c>
      <c r="H104" s="30">
        <f t="shared" si="10"/>
        <v>6.8875851723906121E-3</v>
      </c>
      <c r="I104" s="30">
        <f t="shared" si="11"/>
        <v>-5.648424981234283E-3</v>
      </c>
      <c r="J104" s="30">
        <f t="shared" si="12"/>
        <v>5.1621062452999918E-3</v>
      </c>
      <c r="K104" s="31">
        <f t="shared" si="13"/>
        <v>1.0000000000000009E-2</v>
      </c>
      <c r="L104" s="32">
        <f t="shared" si="14"/>
        <v>-2.0756238506269616E-3</v>
      </c>
      <c r="M104" s="32">
        <f t="shared" si="15"/>
        <v>7.7562385062695627E-4</v>
      </c>
      <c r="N104" s="30">
        <f t="shared" si="16"/>
        <v>1.0810531226534285E-4</v>
      </c>
      <c r="O104" s="30">
        <f t="shared" si="17"/>
        <v>7.7201528862019866E-6</v>
      </c>
    </row>
    <row r="105" spans="1:15" ht="19.05" customHeight="1" x14ac:dyDescent="0.3">
      <c r="A105" s="7">
        <v>100</v>
      </c>
      <c r="B105" s="10">
        <v>0.99</v>
      </c>
      <c r="C105" s="13">
        <v>2.1052325956843806E-3</v>
      </c>
      <c r="D105" s="13">
        <v>-7.8301037346215616E-4</v>
      </c>
      <c r="E105" s="16">
        <v>101322.93473676333</v>
      </c>
      <c r="F105" s="16">
        <v>101326.89444080916</v>
      </c>
      <c r="G105" s="30">
        <f t="shared" si="9"/>
        <v>-3.7465092728691612E-3</v>
      </c>
      <c r="H105" s="30">
        <f t="shared" si="10"/>
        <v>3.436627318209371E-3</v>
      </c>
      <c r="I105" s="30">
        <f t="shared" si="11"/>
        <v>-1.8732546364345806E-3</v>
      </c>
      <c r="J105" s="30">
        <f t="shared" si="12"/>
        <v>1.7183136591046855E-3</v>
      </c>
      <c r="K105" s="31">
        <f t="shared" si="13"/>
        <v>1.0000000000000009E-2</v>
      </c>
      <c r="L105" s="32">
        <f t="shared" si="14"/>
        <v>-2.1052325956843971E-3</v>
      </c>
      <c r="M105" s="32">
        <f t="shared" si="15"/>
        <v>7.8301037346217286E-4</v>
      </c>
      <c r="N105" s="30">
        <f t="shared" si="16"/>
        <v>3.591568295539269E-5</v>
      </c>
      <c r="O105" s="30">
        <f t="shared" si="17"/>
        <v>2.5981793006982908E-6</v>
      </c>
    </row>
    <row r="106" spans="1:15" ht="19.05" customHeight="1" x14ac:dyDescent="0.3">
      <c r="A106" s="8">
        <v>101</v>
      </c>
      <c r="B106" s="11">
        <v>1</v>
      </c>
      <c r="C106" s="14">
        <v>-1.6653345369377347E-17</v>
      </c>
      <c r="D106" s="14">
        <v>1.6653345369377347E-17</v>
      </c>
      <c r="E106" s="17">
        <v>101325</v>
      </c>
      <c r="F106" s="17">
        <v>101325</v>
      </c>
      <c r="G106" s="33"/>
      <c r="H106" s="33"/>
      <c r="I106" s="33"/>
      <c r="J106" s="33"/>
      <c r="K106" s="34"/>
      <c r="L106" s="35"/>
      <c r="M106" s="33"/>
      <c r="N106" s="33"/>
      <c r="O106" s="33"/>
    </row>
    <row r="107" spans="1:15" x14ac:dyDescent="0.3">
      <c r="N107">
        <f>SUM(N6:N106)</f>
        <v>0.73789480608583069</v>
      </c>
      <c r="O107">
        <f>SUM(O6:O106)</f>
        <v>-5.8752010568223129E-2</v>
      </c>
    </row>
  </sheetData>
  <mergeCells count="2">
    <mergeCell ref="A2:F2"/>
    <mergeCell ref="A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C636-2823-4B7E-B86F-C25381ABC230}">
  <dimension ref="A1:D7"/>
  <sheetViews>
    <sheetView workbookViewId="0">
      <selection sqref="A1:B7"/>
    </sheetView>
  </sheetViews>
  <sheetFormatPr defaultRowHeight="14.4" x14ac:dyDescent="0.3"/>
  <cols>
    <col min="1" max="1" width="16.6640625" customWidth="1"/>
    <col min="2" max="2" width="23" customWidth="1"/>
    <col min="3" max="3" width="21.6640625" customWidth="1"/>
    <col min="4" max="4" width="21.33203125" customWidth="1"/>
    <col min="5" max="5" width="24.44140625" customWidth="1"/>
  </cols>
  <sheetData>
    <row r="1" spans="1:4" x14ac:dyDescent="0.3">
      <c r="A1" s="38" t="s">
        <v>38</v>
      </c>
      <c r="B1" s="38" t="s">
        <v>45</v>
      </c>
      <c r="C1" s="26"/>
      <c r="D1" s="26"/>
    </row>
    <row r="2" spans="1:4" x14ac:dyDescent="0.3">
      <c r="A2" s="39" t="s">
        <v>39</v>
      </c>
      <c r="B2" s="40">
        <f>SUM(Data!O6:O105)</f>
        <v>-5.8752010568223129E-2</v>
      </c>
      <c r="C2" s="27"/>
      <c r="D2" s="28"/>
    </row>
    <row r="3" spans="1:4" x14ac:dyDescent="0.3">
      <c r="A3" s="39" t="s">
        <v>40</v>
      </c>
      <c r="B3" s="29">
        <f>SUM(Data!N6:N105)</f>
        <v>0.73789480608583069</v>
      </c>
      <c r="C3" s="27"/>
      <c r="D3" s="28"/>
    </row>
    <row r="4" spans="1:4" x14ac:dyDescent="0.3">
      <c r="A4" s="39" t="s">
        <v>41</v>
      </c>
      <c r="B4" s="40">
        <f>B3*COS(RADIANS(5))-B2*SIN(RADIANS(5))</f>
        <v>0.74020746869113296</v>
      </c>
      <c r="C4" s="27"/>
      <c r="D4" s="28"/>
    </row>
    <row r="5" spans="1:4" x14ac:dyDescent="0.3">
      <c r="A5" s="39" t="s">
        <v>42</v>
      </c>
      <c r="B5" s="40">
        <f>B3*SIN(RADIANS(5))+B2*COS(RADIANS(5))</f>
        <v>5.7833284637556839E-3</v>
      </c>
      <c r="C5" s="27"/>
      <c r="D5" s="28"/>
    </row>
    <row r="6" spans="1:4" x14ac:dyDescent="0.3">
      <c r="A6" s="39" t="s">
        <v>43</v>
      </c>
      <c r="B6" s="41">
        <f>0.5*551.25*B4</f>
        <v>204.01968355799352</v>
      </c>
      <c r="C6" s="28"/>
      <c r="D6" s="28"/>
    </row>
    <row r="7" spans="1:4" x14ac:dyDescent="0.3">
      <c r="A7" s="39" t="s">
        <v>44</v>
      </c>
      <c r="B7" s="41">
        <f>0.5*551.25*B5</f>
        <v>1.5940299078226603</v>
      </c>
      <c r="C7" s="28"/>
      <c r="D7" s="28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Data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fahimeh</cp:lastModifiedBy>
  <dcterms:modified xsi:type="dcterms:W3CDTF">2026-10-07T20:40:12Z</dcterms:modified>
</cp:coreProperties>
</file>